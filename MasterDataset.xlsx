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15" windowWidth="20490" windowHeight="85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Sheet1!$G$1:$G$198</definedName>
    <definedName name="_xlnm._FilterDatabase" localSheetId="1" hidden="1">Sheet2!$C$2:$D$1048430</definedName>
    <definedName name="_xlnm._FilterDatabase" localSheetId="2" hidden="1">Sheet3!$H$2:$H$300</definedName>
    <definedName name="_xlnm._FilterDatabase" localSheetId="3" hidden="1">Sheet4!$J$1:$J$502</definedName>
  </definedNames>
  <calcPr calcId="144525"/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8" i="1"/>
  <c r="E39" i="1"/>
  <c r="E41" i="1"/>
  <c r="E42" i="1"/>
  <c r="E43" i="1"/>
  <c r="E44" i="1"/>
  <c r="E46" i="1"/>
  <c r="E47" i="1"/>
  <c r="E49" i="1"/>
  <c r="E5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Y7" i="1" l="1"/>
  <c r="AA8" i="1"/>
  <c r="Z8" i="1"/>
  <c r="Y8" i="1"/>
  <c r="X8" i="1"/>
  <c r="W8" i="1"/>
  <c r="AA7" i="1"/>
  <c r="Z7" i="1"/>
  <c r="X7" i="1"/>
  <c r="W7" i="1"/>
  <c r="AA6" i="1"/>
  <c r="Z6" i="1"/>
  <c r="Y6" i="1"/>
  <c r="X6" i="1"/>
  <c r="W6" i="1"/>
  <c r="AA4" i="1"/>
  <c r="AA3" i="1"/>
  <c r="AA5" i="1"/>
  <c r="AA2" i="1"/>
  <c r="Z4" i="1"/>
  <c r="Z3" i="1"/>
  <c r="Z5" i="1"/>
  <c r="Z2" i="1"/>
  <c r="Y4" i="1"/>
  <c r="Y3" i="1"/>
  <c r="Y5" i="1"/>
  <c r="Y2" i="1"/>
  <c r="X4" i="1"/>
  <c r="X3" i="1"/>
  <c r="X5" i="1"/>
  <c r="X2" i="1"/>
  <c r="W4" i="1"/>
  <c r="W3" i="1"/>
  <c r="W5" i="1"/>
  <c r="W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<sst xmlns="http://schemas.openxmlformats.org/spreadsheetml/2006/main" count="483" uniqueCount="290">
  <si>
    <t>ID</t>
  </si>
  <si>
    <t>Category</t>
  </si>
  <si>
    <t>Sentence</t>
  </si>
  <si>
    <t>Label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</si>
  <si>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</si>
  <si>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</si>
  <si>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</si>
  <si>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</si>
  <si>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</si>
  <si>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</si>
  <si>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</si>
  <si>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</si>
  <si>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</si>
  <si>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</si>
  <si>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</si>
  <si>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</si>
  <si>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</si>
  <si>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</si>
  <si>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</si>
  <si>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</si>
  <si>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</si>
  <si>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</si>
  <si>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</si>
  <si>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</si>
  <si>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</si>
  <si>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</si>
  <si>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</si>
  <si>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</si>
  <si>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</si>
  <si>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</si>
  <si>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</si>
  <si>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</si>
  <si>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</si>
  <si>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</si>
  <si>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</si>
  <si>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</si>
  <si>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</si>
  <si>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</si>
  <si>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</si>
  <si>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</si>
  <si>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</si>
  <si>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</si>
  <si>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</si>
  <si>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</si>
  <si>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</si>
  <si>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</si>
  <si>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S44</t>
  </si>
  <si>
    <t>S45</t>
  </si>
  <si>
    <t>S46</t>
  </si>
  <si>
    <t>S47</t>
  </si>
  <si>
    <t>S48</t>
  </si>
  <si>
    <t>S49</t>
  </si>
  <si>
    <t>S50</t>
  </si>
  <si>
    <t>S43</t>
  </si>
  <si>
    <t>Rule Authority</t>
  </si>
  <si>
    <t>Source Reference</t>
  </si>
  <si>
    <t>Morphosyntax</t>
  </si>
  <si>
    <t>Kaggle</t>
  </si>
  <si>
    <t>He swims in the pool every day last summer.</t>
  </si>
  <si>
    <t>Incorrect</t>
  </si>
  <si>
    <t>He swam in the pool every day last summer.</t>
  </si>
  <si>
    <t>Sub-Category</t>
  </si>
  <si>
    <t>Word Count</t>
  </si>
  <si>
    <t>Rule URL</t>
  </si>
  <si>
    <t>https://owl.purdue.edu/owl/general_writing/grammar/verb_tenses/verb_tense_consistency.html</t>
  </si>
  <si>
    <t>Target Correction</t>
  </si>
  <si>
    <t>Verb Tense</t>
  </si>
  <si>
    <t>Subject-Verb Agreement</t>
  </si>
  <si>
    <t>The bakeries in this area makes delicious pastries.</t>
  </si>
  <si>
    <t>The bakeries in this area make delicious pastries.</t>
  </si>
  <si>
    <t>https://owl.purdue.edu/owl/general_writing/grammar/subject_verb_agreement.html</t>
  </si>
  <si>
    <t>Functional Syntax</t>
  </si>
  <si>
    <t>Article Usage</t>
  </si>
  <si>
    <t>The students are learning a chemistry in class.</t>
  </si>
  <si>
    <t>The students are learning chemistry in class.</t>
  </si>
  <si>
    <t>He is interested to learn guitar.</t>
  </si>
  <si>
    <t>Gerund vs. Infinitive (Prepositional)</t>
  </si>
  <si>
    <t>He is interested in learning guitar.</t>
  </si>
  <si>
    <t>https://owl.purdue.edu/owl/general_writing/grammar/using_articles.html</t>
  </si>
  <si>
    <t>A carrier may consider not having any child after getting married.</t>
  </si>
  <si>
    <t>A carrier may consider not having any children after getting.</t>
  </si>
  <si>
    <t>https://owl.purdue.edu/owl/general_writing/grammar/count_and_noncount_nouns/index.html</t>
  </si>
  <si>
    <t>CoNLL 2014</t>
  </si>
  <si>
    <t>Noun Number</t>
  </si>
  <si>
    <t>Medical technology during that time is not advanced enough to cure him.</t>
  </si>
  <si>
    <t>Medical technology during that time was not advanced enough to cure him.</t>
  </si>
  <si>
    <t>This essay will discuss about whether a carrier should tell his relatives or not.</t>
  </si>
  <si>
    <t>Preposition</t>
  </si>
  <si>
    <t>This essay will discuss whether a carrier should tell his relatives or not.</t>
  </si>
  <si>
    <t>Then I attended Morris Junior High. A junior high that was a bad experience.</t>
  </si>
  <si>
    <t>Purdue OWL</t>
  </si>
  <si>
    <t>Then I attended Morris Junior High, a junior high that was a bad experience.</t>
  </si>
  <si>
    <t>https://owl.purdue.edu/owl/general_writing/mechanics/sentence_fragments.html</t>
  </si>
  <si>
    <t>Sentence Fragment</t>
  </si>
  <si>
    <t>He enjoys walking through the country. He often goes backpacking on his vacations.</t>
  </si>
  <si>
    <t>Sentence Variety (Coordination)</t>
  </si>
  <si>
    <t>He enjoys walking through the country, and he often goes backpacking on his vacations.</t>
  </si>
  <si>
    <t>They weren't dangerous criminals they were detectives in disguise.</t>
  </si>
  <si>
    <t>They weren't dangerous criminals; they were detectives in disguise.</t>
  </si>
  <si>
    <t>Run-on Sentences (Fused)</t>
  </si>
  <si>
    <t>Misplaced Modifier</t>
  </si>
  <si>
    <t>Many tourists visit Arlington National Cemetery, where veterans and military personnel are buried every day from 9:00 a.m. until 5:00 p.m.</t>
  </si>
  <si>
    <t>Every day from 9:00 a.m. until 5:00 p.m., many tourists visit Arlington National Cemetery, where veterans and military personnel are buried.</t>
  </si>
  <si>
    <t>The candidate’s goals include winning the election, a national health program, and the educational system.</t>
  </si>
  <si>
    <t>University of Wisconsin-Madison Writing Center</t>
  </si>
  <si>
    <t>The candidate’s goals include winning the election, enacting a national health program, and improving the educational system.</t>
  </si>
  <si>
    <t>Parallelism</t>
  </si>
  <si>
    <t>When it comes to eating people differ in their tastes.</t>
  </si>
  <si>
    <t>https://writing.wisc.edu/handbook/grammarpunctuation/commas/</t>
  </si>
  <si>
    <t>When it comes to eating, people differ in their tastes.</t>
  </si>
  <si>
    <t>Introductory Phrase Comma</t>
  </si>
  <si>
    <t>We should make a survey to find out what our customers want.</t>
  </si>
  <si>
    <t>We should conduct a survey to find out what our customers want.</t>
  </si>
  <si>
    <t>Cambridge Dictionary</t>
  </si>
  <si>
    <t>Lexical &amp; Semantic</t>
  </si>
  <si>
    <t>https://dictionary.cambridge.org/grammar/british-grammar/collocation-survey</t>
  </si>
  <si>
    <t>Cambridge Dictionary (English Grammar Today)</t>
  </si>
  <si>
    <t>Collocation</t>
  </si>
  <si>
    <t>The contribution you did helped the company to succeed.</t>
  </si>
  <si>
    <t>The contribution you made helped the company to succeed.</t>
  </si>
  <si>
    <t>Cambridge Dictionary (English Grammar Today: Do or Make)</t>
  </si>
  <si>
    <t>https://dictionary.cambridge.org/grammar/british-grammar/do-or-make</t>
  </si>
  <si>
    <t> They received a large amount of complaints.</t>
  </si>
  <si>
    <t>They received a large number of complaints.</t>
  </si>
  <si>
    <t>Cambridge Dictionary (English Grammar Today: Amount of, number of or quantity of?)</t>
  </si>
  <si>
    <t>https://dictionary.cambridge.org/grammar/british-grammar/amount-of-number-of-or-quantity-of</t>
  </si>
  <si>
    <t>Word Choice</t>
  </si>
  <si>
    <t>She started her actual job two years ago</t>
  </si>
  <si>
    <t>Cambridge Dictionary (English Grammar Today: Actual and actually)</t>
  </si>
  <si>
    <t>https://dictionary.cambridge.org/grammar/british-grammar/actual-and-actually</t>
  </si>
  <si>
    <t>She started her current job two years ago.</t>
  </si>
  <si>
    <t>He dropped out of school on account of the fact that it was necessary for him to help support his family.</t>
  </si>
  <si>
    <t>Purdue OWL (General Writing: Eliminating Wordiness)</t>
  </si>
  <si>
    <t>Redundancy</t>
  </si>
  <si>
    <t>He dropped out of school to support his family.</t>
  </si>
  <si>
    <t>Trouble is caused when people disobey rules that have been established for the safety of all.</t>
  </si>
  <si>
    <t>Purdue OWL (Eliminating Wordiness)</t>
  </si>
  <si>
    <t>Disobeying safety regulations causes trouble.</t>
  </si>
  <si>
    <t>The old man the boat.</t>
  </si>
  <si>
    <t>Adversarial</t>
  </si>
  <si>
    <t>Correct</t>
  </si>
  <si>
    <t>Wiktionary</t>
  </si>
  <si>
    <t>N/A</t>
  </si>
  <si>
    <t>Having finished the assignment, the TV was turned on. </t>
  </si>
  <si>
    <t>Dangling modifiers</t>
  </si>
  <si>
    <t>Having finished the assignment, Jill turned on the TV.</t>
  </si>
  <si>
    <t>She ate her lunch quick.</t>
  </si>
  <si>
    <t>Adverb-Adjective Confusion</t>
  </si>
  <si>
    <t>Purdue OWL (The Difference between Adjectives and Adverbs)</t>
  </si>
  <si>
    <t>https://owl.purdue.edu/owl/general_writing/grammar/how_to_use_adjectives_and_adverbs/adjective_or_adverb.html</t>
  </si>
  <si>
    <t>She ate her lunch quickly</t>
  </si>
  <si>
    <t>To improve his results, the experiment was done again.</t>
  </si>
  <si>
    <t>Purdue OWL (Dangling Modifiers)</t>
  </si>
  <si>
    <t>He improved his results by doing the experiment again.</t>
  </si>
  <si>
    <t>Purdue OWL (Parallel Structure)</t>
  </si>
  <si>
    <t>https://owl.purdue.edu/owl/general_writing/mechanics/parallel_structure.html</t>
  </si>
  <si>
    <t>Faulty Parallelism</t>
  </si>
  <si>
    <t>It was a bit more entertaining play than the last play we saw.</t>
  </si>
  <si>
    <t>Modifier Placement</t>
  </si>
  <si>
    <t>He understands little of the reading.</t>
  </si>
  <si>
    <t>Quantifier-Noun Agreement</t>
  </si>
  <si>
    <t>Purdue OWL (Count and Uncount Nouns)</t>
  </si>
  <si>
    <t>We drove toward the river for an hour but turned north before we reached it.</t>
  </si>
  <si>
    <t>Compound Predicates / Prepositions</t>
  </si>
  <si>
    <t>Purdue OWL (Prepositions / Commas)</t>
  </si>
  <si>
    <t>https://owl.purdue.edu/owl/general_writing/punctuation/commas/extended_rules_for_commas.html</t>
  </si>
  <si>
    <t>The woman with all the dogs walks down my street.</t>
  </si>
  <si>
    <t>Purdue OWL (Subject-Verb Agreement)</t>
  </si>
  <si>
    <t>The dog smells badly.</t>
  </si>
  <si>
    <t>Adverb vs. Adjective (Diction)</t>
  </si>
  <si>
    <t>Purdue OWL (Adverbs on Verbs)</t>
  </si>
  <si>
    <t>There is no time to finish now.</t>
  </si>
  <si>
    <t>Negative Quantifiers</t>
  </si>
  <si>
    <t>The team captain, as well as his players, is anxious.</t>
  </si>
  <si>
    <t>The Grinch himself carved the roast beast!</t>
  </si>
  <si>
    <t>Intensive Pronouns</t>
  </si>
  <si>
    <t>Purdue OWL (Pronouns)</t>
  </si>
  <si>
    <t>https://owl.purdue.edu/owl/general_writing/grammar/pronouns/index.html</t>
  </si>
  <si>
    <t>Pronoun-Antecedent Agreement</t>
  </si>
  <si>
    <t>When a person comes to class, he or she should have his or her homework ready.</t>
  </si>
  <si>
    <t>The club celebrated the birthdays of six 90-year-olds who were born in the city.</t>
  </si>
  <si>
    <t>Number-Noun Agreement</t>
  </si>
  <si>
    <t>Purdue OWL (Hyphens)</t>
  </si>
  <si>
    <t>Purdue OWL (Verb Tenses)</t>
  </si>
  <si>
    <t>https://owl.purdue.edu/owl/general_writing/grammar/verb_tenses/index.html</t>
  </si>
  <si>
    <t>After reading the original study, I find the article unconvincing.</t>
  </si>
  <si>
    <t>https://owl.purdue.edu/owl/general_writing/mechanics/dangling_modifiers_and_how_to_correct_them.html</t>
  </si>
  <si>
    <t>Parallel Structure</t>
  </si>
  <si>
    <t>Mary likes hiking, swimming, and riding a bicycle.</t>
  </si>
  <si>
    <t>https://owl.purdue.edu/owl/general_writing/punctuation/commas/commas_with_nonessential_elements.html</t>
  </si>
  <si>
    <t>Purdue OWL (Commas with Nonessential Elements)</t>
  </si>
  <si>
    <t>Essential Appositives</t>
  </si>
  <si>
    <t>https://owl.purdue.edu/owl/general_writing/punctuation/commas/commas_vs_semicolons.html</t>
  </si>
  <si>
    <t>Purdue OWL (Commas vs. Semicolons)</t>
  </si>
  <si>
    <t>It rained heavily during the afternoon, but we managed to have our picnic anyway.</t>
  </si>
  <si>
    <t>Compound Sentences (Coordinating Conjunctions)</t>
  </si>
  <si>
    <t>Doctors are concerned about the rising death rate from asthma; they are unsure of its cause.</t>
  </si>
  <si>
    <t>Compound Sentences (Semicolon Use)</t>
  </si>
  <si>
    <t>Purdue OWL (Sentence Punctuation Patterns)</t>
  </si>
  <si>
    <t>https://owl.purdue.edu/owl/general_writing/grammar/spelling_common_words_that_sound_alike.html</t>
  </si>
  <si>
    <t>Purdue OWL (Common Words that Sound Alike)</t>
  </si>
  <si>
    <t>I advise you to be cautious.</t>
  </si>
  <si>
    <t>Commonly Confused Words</t>
  </si>
  <si>
    <t>https://owl.purdue.edu/owl/multilingual/multilingual_students/key_concepts_for_writing_in_north_american_colleges/common_expressions_in_academic_writing.html</t>
  </si>
  <si>
    <t>Purdue OWL (Common Expressions in Academic Writing)</t>
  </si>
  <si>
    <t>Collocations / Idiomatic Expressions</t>
  </si>
  <si>
    <t>https://owl.purdue.edu/owl_exercises/sentence_style/eliminating_wordiness_test/eliminating_wordiness_exercise_1_answers.html</t>
  </si>
  <si>
    <t>Purdue OWL (Sentence Style / Inversion)</t>
  </si>
  <si>
    <t>Rarely will you find someone who has never told a deliberate lie.</t>
  </si>
  <si>
    <t>Negative Inversion (Emphasis)</t>
  </si>
  <si>
    <t>https://owl.purdue.edu/owl_exercises/spelling_exercises/ible_vs_able/ible_and_able_spelling_exercise_2_answers.html</t>
  </si>
  <si>
    <t>Purdue OWL (able vs. ible)</t>
  </si>
  <si>
    <t>My irresponsible little brother is usually kept away from anything breakable.</t>
  </si>
  <si>
    <t>Suffix Precision</t>
  </si>
  <si>
    <t>https://owl.purdue.edu/owl/general_writing/academic_writing/conciseness/eliminating_words.html</t>
  </si>
  <si>
    <t>Purdue OWL (Eliminating Words)</t>
  </si>
  <si>
    <t>The supply manager considered the correcting typewriter a luxury.</t>
  </si>
  <si>
    <t>Lexical Economy (Conciseness)</t>
  </si>
  <si>
    <t>They failed the experiment, not having studied the lab manual carefully.</t>
  </si>
  <si>
    <t>Delayed Participle Phrases</t>
  </si>
  <si>
    <t>http://en.wikipedia.org/wiki/Garden-path_sentence</t>
  </si>
  <si>
    <t>Wikipedia / Linguistic Theory (Garden Path Sentence)</t>
  </si>
  <si>
    <t>Wikipedia</t>
  </si>
  <si>
    <t>The horse raced past the barn fell.</t>
  </si>
  <si>
    <t>Garden Path (Reduced Relative Clause)</t>
  </si>
  <si>
    <t>https://en.wiktionary.org/wiki/garden_path_sentence</t>
  </si>
  <si>
    <t>Wiktionary / Linguistic Theory (Garden Path)</t>
  </si>
  <si>
    <t>The government plans to raise taxes were defeated.</t>
  </si>
  <si>
    <t>Garden Path (Lexical Ambiguity)</t>
  </si>
  <si>
    <t>https://www.geeksforgeeks.org/english/verbs/</t>
  </si>
  <si>
    <t>GeeksforGeeks (Verbs / Subject-Verb Agreement)</t>
  </si>
  <si>
    <t>GeeksforGeeks</t>
  </si>
  <si>
    <t>The team are arguing among themselves.</t>
  </si>
  <si>
    <t>Collective Nouns (Notional Agreement)</t>
  </si>
  <si>
    <t>Functional Shift (Garden Path)</t>
  </si>
  <si>
    <t>The production manager was asked to write his report quickly, accurately, and in a detailed manner.</t>
  </si>
  <si>
    <t>You will have worked fifty hours by the end of this pay period.</t>
  </si>
  <si>
    <t>The teacher said that he was a poor student because he waited until the last minute to study for the exam, completed his lab problems in a careless manner, and his motivation was low.</t>
  </si>
  <si>
    <t>The sixth-century philosopher Boethius was arrested, tortured, and bludgeoned to death.</t>
  </si>
  <si>
    <t>Ground Truth</t>
  </si>
  <si>
    <t>Claude Sonnet 4.6[Labels]</t>
  </si>
  <si>
    <t>Claude 4.6[Metrics]</t>
  </si>
  <si>
    <t>Grammarly Basic[Labels]</t>
  </si>
  <si>
    <t>Grammarly[Metrics]</t>
  </si>
  <si>
    <t>LanguageTool Basic[Labels]</t>
  </si>
  <si>
    <t>LanguageTool[metrics]</t>
  </si>
  <si>
    <t>GPT-5.4 Mini[Labels]</t>
  </si>
  <si>
    <t>GPT-5.4[Metrics]</t>
  </si>
  <si>
    <t>Gemini 3 Flash[Labels]</t>
  </si>
  <si>
    <t>Gemini 3[Metrics]</t>
  </si>
  <si>
    <t>Predicted:1 (Error) Actual:1(Error)(TP)</t>
  </si>
  <si>
    <t>Predicted:1 (Error) Actual:0(Correct)(FP)</t>
  </si>
  <si>
    <t>Predicted:0 (Correct) Actual:1(Error)(FN)</t>
  </si>
  <si>
    <t>Predicted:0 (Correct) Actual:0(Correct)(TN)</t>
  </si>
  <si>
    <t>Cohen's Kappa</t>
  </si>
  <si>
    <t>F1 Score</t>
  </si>
  <si>
    <t>Accuracy</t>
  </si>
  <si>
    <t>https://writing.wisc.edu/handbook/commonerrors/</t>
  </si>
  <si>
    <t>Cambridge Dictionary(There is/are)</t>
  </si>
  <si>
    <t>https://owl.purdue.edu/owl/general_writing/grammar/writing_numbers.html</t>
  </si>
  <si>
    <t>https://www.oxfordlearnersdictionaries.com/definition/english/man_2</t>
  </si>
  <si>
    <t>Oxford Learner's Dictionary (man_2 verb)</t>
  </si>
  <si>
    <t>https://dictionary.cambridge.org/grammar/british-grammar/discuss</t>
  </si>
  <si>
    <t>Cambridge Dictionary (Discuss)</t>
  </si>
  <si>
    <t>https://owl.purdue.edu/owl/general_writing/academic_writing/active_and_passive_voice/index.html</t>
  </si>
  <si>
    <t>https://owl.purdue.edu/owl/general_writing/grammar/adjective_or_adverb/index.html</t>
  </si>
  <si>
    <t>https://owl.purdue.edu/owl/general_writing/punctuation/independent_and_dependent_clauses/runonsentences.html</t>
  </si>
  <si>
    <t>https://owl.purdue.edu/owl/general_writing/mechanics/gerunds_participles_and_infinitives/participles.html</t>
  </si>
  <si>
    <t>https://owl.purdue.edu/owl/multilingual/multilingual_students/punctuation/semicolons_colons_and_parentheses.html</t>
  </si>
  <si>
    <t>Purdue OWL(Using Articles)</t>
  </si>
  <si>
    <t>Purdue OWL(Verb Tense Consistency)</t>
  </si>
  <si>
    <t>Purdue OWL(Using Articles: Omission of Articles )</t>
  </si>
  <si>
    <t>Purdue OWLSentence Fragments )</t>
  </si>
  <si>
    <t>Purdue OWL Irregular Plural Nouns )</t>
  </si>
  <si>
    <t xml:space="preserve"> Purdue OWL(Strategies for Variation)</t>
  </si>
  <si>
    <t>Purdue OWL(Subject-Verb Agreement)</t>
  </si>
  <si>
    <t>Purdue OWL(Prepositions with Adjectives)</t>
  </si>
  <si>
    <t>Purdue OWL(Verb Tenses)</t>
  </si>
  <si>
    <t>Claude 4.6 Sonnet</t>
  </si>
  <si>
    <t>Grammarly Basic</t>
  </si>
  <si>
    <t>LanguageTool Basic</t>
  </si>
  <si>
    <t>GPT-5.4 Mini</t>
  </si>
  <si>
    <t>Gemini 3 Flash</t>
  </si>
  <si>
    <t>https://writing.wisc.edu/handbook/grammarpunct/commonerrors/</t>
  </si>
  <si>
    <t>https://owl.purdue.edu/owl/general_writing/mechanics/gerunds_participles_and_infinitives/index.html</t>
  </si>
  <si>
    <t>https://dictionary.cambridge.org/grammar/british-grammar/there-is-there-s-and-there-are</t>
  </si>
  <si>
    <t>https://dictionary.cambridge.org/grammar/british-grammar/clauses-and-sentences</t>
  </si>
  <si>
    <t>It was a bit more entertaining than the last play we saw.</t>
  </si>
  <si>
    <t>The production manager was asked to write his report quickly, accurately, and thoroughly.</t>
  </si>
  <si>
    <t>The teacher said that he was a poor student because he waited until the last minute to study for the exam, completed his lab problems in a careless manner, and lacked motivation.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</si>
</sst>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1" applyFont="1" applyAlignment="1">
      <alignment horizontal="left" vertical="center" indent="1"/>
    </xf>
    <xf numFmtId="0" fontId="7" fillId="0" borderId="0" xfId="0" applyFont="1"/>
    <xf numFmtId="0" fontId="2" fillId="0" borderId="0" xfId="1"/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wl.purdue.edu/owl/general_writing/grammar/how_to_use_adjectives_and_adverbs/adjective_or_adverb.html" TargetMode="External"/><Relationship Id="rId13" Type="http://schemas.openxmlformats.org/officeDocument/2006/relationships/hyperlink" Target="https://owl.purdue.edu/owl/general_writing/grammar/pronouns/index.html" TargetMode="External"/><Relationship Id="rId18" Type="http://schemas.openxmlformats.org/officeDocument/2006/relationships/hyperlink" Target="https://owl.purdue.edu/owl/general_writing/grammar/spelling_common_words_that_sound_alike.html" TargetMode="External"/><Relationship Id="rId26" Type="http://schemas.openxmlformats.org/officeDocument/2006/relationships/hyperlink" Target="http://en.wikipedia.org/wiki/Garden-path_sentence" TargetMode="External"/><Relationship Id="rId39" Type="http://schemas.openxmlformats.org/officeDocument/2006/relationships/hyperlink" Target="https://dictionary.cambridge.org/grammar/british-grammar/clauses-and-sentences" TargetMode="External"/><Relationship Id="rId3" Type="http://schemas.openxmlformats.org/officeDocument/2006/relationships/hyperlink" Target="https://owl.purdue.edu/owl_exercises/sentence_style/eliminating_wordiness_test/eliminating_wordiness_exercise_1_answers.html" TargetMode="External"/><Relationship Id="rId21" Type="http://schemas.openxmlformats.org/officeDocument/2006/relationships/hyperlink" Target="https://owl.purdue.edu/owl/general_writing/grammar/subject_verb_agreement.html" TargetMode="External"/><Relationship Id="rId34" Type="http://schemas.openxmlformats.org/officeDocument/2006/relationships/hyperlink" Target="https://www.oxfordlearnersdictionaries.com/definition/english/man_2" TargetMode="External"/><Relationship Id="rId7" Type="http://schemas.openxmlformats.org/officeDocument/2006/relationships/hyperlink" Target="https://owl.purdue.edu/owl/general_writing/grammar/count_and_noncount_nouns/index.html" TargetMode="External"/><Relationship Id="rId12" Type="http://schemas.openxmlformats.org/officeDocument/2006/relationships/hyperlink" Target="https://writing.wisc.edu/handbook/commonerrors/" TargetMode="External"/><Relationship Id="rId17" Type="http://schemas.openxmlformats.org/officeDocument/2006/relationships/hyperlink" Target="https://owl.purdue.edu/owl/general_writing/mechanics/parallel_structure.html" TargetMode="External"/><Relationship Id="rId25" Type="http://schemas.openxmlformats.org/officeDocument/2006/relationships/hyperlink" Target="https://dictionary.cambridge.org/grammar/british-grammar/amount-of-number-of-or-quantity-of" TargetMode="External"/><Relationship Id="rId33" Type="http://schemas.openxmlformats.org/officeDocument/2006/relationships/hyperlink" Target="https://owl.purdue.edu/owl/general_writing/grammar/writing_numbers.html" TargetMode="External"/><Relationship Id="rId38" Type="http://schemas.openxmlformats.org/officeDocument/2006/relationships/hyperlink" Target="https://dictionary.cambridge.org/grammar/british-grammar/there-is-there-s-and-there-are" TargetMode="External"/><Relationship Id="rId2" Type="http://schemas.openxmlformats.org/officeDocument/2006/relationships/hyperlink" Target="https://owl.purdue.edu/owl/general_writing/mechanics/parallel_structure.html" TargetMode="External"/><Relationship Id="rId16" Type="http://schemas.openxmlformats.org/officeDocument/2006/relationships/hyperlink" Target="https://owl.purdue.edu/owl/general_writing/grammar/count_and_noncount_nouns/index.html" TargetMode="External"/><Relationship Id="rId20" Type="http://schemas.openxmlformats.org/officeDocument/2006/relationships/hyperlink" Target="https://owl.purdue.edu/owl/general_writing/punctuation/commas/commas_with_nonessential_elements.html" TargetMode="External"/><Relationship Id="rId29" Type="http://schemas.openxmlformats.org/officeDocument/2006/relationships/hyperlink" Target="https://owl.purdue.edu/owl/general_writing/mechanics/parallel_structure.html" TargetMode="External"/><Relationship Id="rId1" Type="http://schemas.openxmlformats.org/officeDocument/2006/relationships/hyperlink" Target="https://dictionary.cambridge.org/grammar/british-grammar/do-or-make" TargetMode="External"/><Relationship Id="rId6" Type="http://schemas.openxmlformats.org/officeDocument/2006/relationships/hyperlink" Target="https://owl.purdue.edu/owl/general_writing/grammar/pronouns/index.html" TargetMode="External"/><Relationship Id="rId11" Type="http://schemas.openxmlformats.org/officeDocument/2006/relationships/hyperlink" Target="https://owl.purdue.edu/owl/general_writing/grammar/using_articles.html" TargetMode="External"/><Relationship Id="rId24" Type="http://schemas.openxmlformats.org/officeDocument/2006/relationships/hyperlink" Target="https://en.wiktionary.org/wiki/garden_path_sentence" TargetMode="External"/><Relationship Id="rId32" Type="http://schemas.openxmlformats.org/officeDocument/2006/relationships/hyperlink" Target="https://owl.purdue.edu/owl/general_writing/grammar/verb_tenses/index.html" TargetMode="External"/><Relationship Id="rId37" Type="http://schemas.openxmlformats.org/officeDocument/2006/relationships/hyperlink" Target="https://owl.purdue.edu/owl/general_writing/mechanics/gerunds_participles_and_infinitives/index.html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owl.purdue.edu/owl/general_writing/academic_writing/conciseness/eliminating_words.html" TargetMode="External"/><Relationship Id="rId15" Type="http://schemas.openxmlformats.org/officeDocument/2006/relationships/hyperlink" Target="https://owl.purdue.edu/owl/general_writing/mechanics/dangling_modifiers_and_how_to_correct_them.html" TargetMode="External"/><Relationship Id="rId23" Type="http://schemas.openxmlformats.org/officeDocument/2006/relationships/hyperlink" Target="https://owl.purdue.edu/owl/multilingual/multilingual_students/key_concepts_for_writing_in_north_american_colleges/common_expressions_in_academic_writing.html" TargetMode="External"/><Relationship Id="rId28" Type="http://schemas.openxmlformats.org/officeDocument/2006/relationships/hyperlink" Target="https://writing.wisc.edu/handbook/grammarpunctuation/commas/" TargetMode="External"/><Relationship Id="rId36" Type="http://schemas.openxmlformats.org/officeDocument/2006/relationships/hyperlink" Target="https://writing.wisc.edu/handbook/grammarpunct/commonerrors/" TargetMode="External"/><Relationship Id="rId10" Type="http://schemas.openxmlformats.org/officeDocument/2006/relationships/hyperlink" Target="https://owl.purdue.edu/owl/general_writing/punctuation/commas/extended_rules_for_commas.html" TargetMode="External"/><Relationship Id="rId19" Type="http://schemas.openxmlformats.org/officeDocument/2006/relationships/hyperlink" Target="https://owl.purdue.edu/owl/general_writing/grammar/verb_tenses/index.html" TargetMode="External"/><Relationship Id="rId31" Type="http://schemas.openxmlformats.org/officeDocument/2006/relationships/hyperlink" Target="https://dictionary.cambridge.org/grammar/british-grammar/actual-and-actually" TargetMode="External"/><Relationship Id="rId4" Type="http://schemas.openxmlformats.org/officeDocument/2006/relationships/hyperlink" Target="https://owl.purdue.edu/owl/general_writing/grammar/verb_tenses/verb_tense_consistency.html" TargetMode="External"/><Relationship Id="rId9" Type="http://schemas.openxmlformats.org/officeDocument/2006/relationships/hyperlink" Target="https://dictionary.cambridge.org/grammar/british-grammar/collocation-survey" TargetMode="External"/><Relationship Id="rId14" Type="http://schemas.openxmlformats.org/officeDocument/2006/relationships/hyperlink" Target="https://owl.purdue.edu/owl/general_writing/mechanics/sentence_fragments.html" TargetMode="External"/><Relationship Id="rId22" Type="http://schemas.openxmlformats.org/officeDocument/2006/relationships/hyperlink" Target="https://owl.purdue.edu/owl/general_writing/punctuation/commas/commas_vs_semicolons.html" TargetMode="External"/><Relationship Id="rId27" Type="http://schemas.openxmlformats.org/officeDocument/2006/relationships/hyperlink" Target="https://owl.purdue.edu/owl_exercises/spelling_exercises/ible_vs_able/ible_and_able_spelling_exercise_2_answers.html" TargetMode="External"/><Relationship Id="rId30" Type="http://schemas.openxmlformats.org/officeDocument/2006/relationships/hyperlink" Target="https://www.geeksforgeeks.org/english/verbs/" TargetMode="External"/><Relationship Id="rId35" Type="http://schemas.openxmlformats.org/officeDocument/2006/relationships/hyperlink" Target="https://owl.purdue.edu/owl/general_writing/mechanics/dangling_modifiers_and_how_to_correct_th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8"/>
  <sheetViews>
    <sheetView tabSelected="1" topLeftCell="A7" zoomScale="80" zoomScaleNormal="80" workbookViewId="0">
      <selection activeCell="B11" sqref="B11"/>
    </sheetView>
  </sheetViews>
  <sheetFormatPr defaultRowHeight="15" x14ac:dyDescent="0.25"/>
  <cols>
    <col min="1" max="1" width="5" customWidth="1"/>
    <col min="2" max="2" width="21.140625" customWidth="1"/>
    <col min="3" max="3" width="37" customWidth="1"/>
    <col min="4" max="4" width="186" style="6" customWidth="1"/>
    <col min="5" max="6" width="12.28515625" customWidth="1"/>
    <col min="7" max="7" width="18.28515625" customWidth="1"/>
    <col min="8" max="8" width="48.140625" customWidth="1"/>
    <col min="9" max="9" width="175.140625" style="11" customWidth="1"/>
    <col min="10" max="10" width="79.140625" customWidth="1"/>
    <col min="11" max="11" width="169.140625" customWidth="1"/>
    <col min="12" max="12" width="30.85546875" customWidth="1"/>
    <col min="13" max="13" width="25.5703125" customWidth="1"/>
    <col min="14" max="14" width="25.28515625" customWidth="1"/>
    <col min="15" max="15" width="22.140625" customWidth="1"/>
    <col min="16" max="16" width="28.7109375" customWidth="1"/>
    <col min="17" max="19" width="21.85546875" customWidth="1"/>
    <col min="20" max="20" width="27.7109375" customWidth="1"/>
    <col min="21" max="21" width="19.5703125" customWidth="1"/>
    <col min="22" max="22" width="42" bestFit="1" customWidth="1"/>
    <col min="23" max="23" width="19" customWidth="1"/>
    <col min="24" max="24" width="17" customWidth="1"/>
    <col min="25" max="25" width="20.28515625" customWidth="1"/>
    <col min="26" max="26" width="14.5703125" customWidth="1"/>
    <col min="27" max="27" width="16.28515625" customWidth="1"/>
  </cols>
  <sheetData>
    <row r="1" spans="1:27" x14ac:dyDescent="0.25">
      <c r="A1" s="4" t="s">
        <v>0</v>
      </c>
      <c r="B1" s="4" t="s">
        <v>1</v>
      </c>
      <c r="C1" s="4" t="s">
        <v>61</v>
      </c>
      <c r="D1" s="4" t="s">
        <v>2</v>
      </c>
      <c r="E1" s="4" t="s">
        <v>62</v>
      </c>
      <c r="F1" s="4" t="s">
        <v>3</v>
      </c>
      <c r="G1" s="4" t="s">
        <v>239</v>
      </c>
      <c r="H1" s="4" t="s">
        <v>55</v>
      </c>
      <c r="I1" s="13" t="s">
        <v>65</v>
      </c>
      <c r="J1" s="4" t="s">
        <v>54</v>
      </c>
      <c r="K1" s="4" t="s">
        <v>63</v>
      </c>
      <c r="L1" s="4" t="s">
        <v>240</v>
      </c>
      <c r="M1" s="4" t="s">
        <v>241</v>
      </c>
      <c r="N1" s="4" t="s">
        <v>242</v>
      </c>
      <c r="O1" s="4" t="s">
        <v>243</v>
      </c>
      <c r="P1" s="4" t="s">
        <v>244</v>
      </c>
      <c r="Q1" s="4" t="s">
        <v>245</v>
      </c>
      <c r="R1" s="5" t="s">
        <v>246</v>
      </c>
      <c r="S1" s="4" t="s">
        <v>247</v>
      </c>
      <c r="T1" s="5" t="s">
        <v>248</v>
      </c>
      <c r="U1" s="4" t="s">
        <v>249</v>
      </c>
      <c r="V1" s="6"/>
      <c r="W1" s="5" t="s">
        <v>278</v>
      </c>
      <c r="X1" s="5" t="s">
        <v>279</v>
      </c>
      <c r="Y1" s="5" t="s">
        <v>280</v>
      </c>
      <c r="Z1" s="5" t="s">
        <v>281</v>
      </c>
      <c r="AA1" s="5" t="s">
        <v>282</v>
      </c>
    </row>
    <row r="2" spans="1:27" x14ac:dyDescent="0.25">
      <c r="A2" s="6" t="s">
        <v>4</v>
      </c>
      <c r="B2" s="6" t="s">
        <v>139</v>
      </c>
      <c r="C2" s="6" t="s">
        <v>209</v>
      </c>
      <c r="D2" s="11" t="s">
        <v>208</v>
      </c>
      <c r="E2" s="6">
        <f>IF(LEN(TRIM(D2))=0, 0, LEN(TRIM(D2)) - LEN(SUBSTITUTE(D2, " ", "")) + 1)</f>
        <v>12</v>
      </c>
      <c r="F2" s="6" t="s">
        <v>140</v>
      </c>
      <c r="G2" s="5">
        <f t="shared" ref="G2:G33" si="0">IF(TRIM(F2)="Incorrect",1,0)</f>
        <v>0</v>
      </c>
      <c r="H2" s="6" t="s">
        <v>90</v>
      </c>
      <c r="I2" s="11" t="s">
        <v>142</v>
      </c>
      <c r="J2" s="6" t="s">
        <v>207</v>
      </c>
      <c r="K2" s="7" t="s">
        <v>206</v>
      </c>
      <c r="L2" s="6">
        <v>0</v>
      </c>
      <c r="M2" s="6" t="str">
        <f>IF(AND(G2=1, L2=1), "TP", IF(AND(G2=0, L2=0), "TN", IF(AND(G2=0, L2=1), "FP", "FN")))</f>
        <v>TN</v>
      </c>
      <c r="N2" s="6">
        <v>0</v>
      </c>
      <c r="O2" s="6" t="str">
        <f>IF(AND(G2=1, N2=1), "TP", IF(AND(G2=0, N2=0), "TN", IF(AND(G2=0, N2=1), "FP", IF(AND(G2=1, N2=0), "FN", ""))))</f>
        <v>TN</v>
      </c>
      <c r="P2" s="6">
        <v>0</v>
      </c>
      <c r="Q2" s="6" t="str">
        <f>IF(AND(G2=1, P2=1), "TP", IF(AND(G2=0, P2=0), "TN", IF(AND(G2=0, P2=1), "FP", IF(AND(G2=1, P2=0), "FN", ""))))</f>
        <v>TN</v>
      </c>
      <c r="R2" s="6">
        <v>0</v>
      </c>
      <c r="S2" s="6" t="str">
        <f>IF(AND(G2=1, R2=1), "TP", IF(AND(G2=0, R2=0), "TN", IF(AND(G2=0, R2=1), "FP", IF(AND(G2=1, R2=0), "FN", ""))))</f>
        <v>TN</v>
      </c>
      <c r="T2" s="6">
        <v>0</v>
      </c>
      <c r="U2" s="6" t="str">
        <f>IF(AND(G2=1, T2=1), "TP", IF(AND(G2=0, T2=0), "TN", IF(AND(G2=0, T2=1), "FP", IF(AND(G2=1, T2=0), "FN", ""))))</f>
        <v>TN</v>
      </c>
      <c r="V2" s="5" t="s">
        <v>250</v>
      </c>
      <c r="W2" s="6">
        <f>COUNTIFS($G$2:$G$51, 1, $L$2:$L$51, 1)</f>
        <v>23</v>
      </c>
      <c r="X2" s="6">
        <f>COUNTIFS($G$2:$G$51, 1, $N$2:$N$51, 1)</f>
        <v>14</v>
      </c>
      <c r="Y2" s="6">
        <f>COUNTIFS($G$2:$G$51, 1, $P$2:$P$51, 1)</f>
        <v>11</v>
      </c>
      <c r="Z2" s="6">
        <f>COUNTIFS($G$2:$G$51, 1, $R$2:$R$51, 1)</f>
        <v>21</v>
      </c>
      <c r="AA2" s="6">
        <f>COUNTIFS($G$2:$G$51, 1, $T$2:$T$51, 1)</f>
        <v>22</v>
      </c>
    </row>
    <row r="3" spans="1:27" x14ac:dyDescent="0.25">
      <c r="A3" s="6" t="s">
        <v>5</v>
      </c>
      <c r="B3" s="6" t="s">
        <v>56</v>
      </c>
      <c r="C3" s="6" t="s">
        <v>66</v>
      </c>
      <c r="D3" s="11" t="s">
        <v>58</v>
      </c>
      <c r="E3" s="6">
        <f t="shared" ref="E3:E30" si="1">IF(LEN(TRIM(D3))=0, 0, LEN(TRIM(D3)) - LEN(SUBSTITUTE(D3, " ", "")) + 1)</f>
        <v>9</v>
      </c>
      <c r="F3" s="6" t="s">
        <v>59</v>
      </c>
      <c r="G3" s="5">
        <f t="shared" si="0"/>
        <v>1</v>
      </c>
      <c r="H3" s="6" t="s">
        <v>57</v>
      </c>
      <c r="I3" s="11" t="s">
        <v>60</v>
      </c>
      <c r="J3" s="6" t="s">
        <v>270</v>
      </c>
      <c r="K3" s="7" t="s">
        <v>64</v>
      </c>
      <c r="L3" s="6">
        <v>1</v>
      </c>
      <c r="M3" s="6" t="str">
        <f t="shared" ref="M3:M51" si="2">IF(AND(G3=1, L3=1), "TP", IF(AND(G3=0, L3=0), "TN", IF(AND(G3=0, L3=1), "FP", "FN")))</f>
        <v>TP</v>
      </c>
      <c r="N3" s="6">
        <v>1</v>
      </c>
      <c r="O3" s="6" t="str">
        <f t="shared" ref="O3:O51" si="3">IF(AND(G3=1, N3=1), "TP", IF(AND(G3=0, N3=0), "TN", IF(AND(G3=0, N3=1), "FP", IF(AND(G3=1, N3=0), "FN", ""))))</f>
        <v>TP</v>
      </c>
      <c r="P3" s="6">
        <v>1</v>
      </c>
      <c r="Q3" s="6" t="str">
        <f t="shared" ref="Q3:Q51" si="4">IF(AND(G3=1, P3=1), "TP", IF(AND(G3=0, P3=0), "TN", IF(AND(G3=0, P3=1), "FP", IF(AND(G3=1, P3=0), "FN", ""))))</f>
        <v>TP</v>
      </c>
      <c r="R3" s="6">
        <v>1</v>
      </c>
      <c r="S3" s="6" t="str">
        <f t="shared" ref="S3:S51" si="5">IF(AND(G3=1, R3=1), "TP", IF(AND(G3=0, R3=0), "TN", IF(AND(G3=0, R3=1), "FP", IF(AND(G3=1, R3=0), "FN", ""))))</f>
        <v>TP</v>
      </c>
      <c r="T3" s="6">
        <v>1</v>
      </c>
      <c r="U3" s="6" t="str">
        <f t="shared" ref="U3:U51" si="6">IF(AND(G3=1, T3=1), "TP", IF(AND(G3=0, T3=0), "TN", IF(AND(G3=0, T3=1), "FP", IF(AND(G3=1, T3=0), "FN", ""))))</f>
        <v>TP</v>
      </c>
      <c r="V3" s="5" t="s">
        <v>251</v>
      </c>
      <c r="W3" s="6">
        <f>COUNTIFS($G$2:$G$51, 0, $L$2:$L$51, 1)</f>
        <v>4</v>
      </c>
      <c r="X3" s="6">
        <f>COUNTIFS($G$2:$G$51, 0, $N$2:$N$51, 1)</f>
        <v>6</v>
      </c>
      <c r="Y3" s="6">
        <f>COUNTIFS($G$2:$G$51, 0, $P$2:$P$51, 1)</f>
        <v>4</v>
      </c>
      <c r="Z3" s="6">
        <f>COUNTIFS($G$2:$G$51, 0, $R$2:$R$51, 1)</f>
        <v>7</v>
      </c>
      <c r="AA3" s="6">
        <f>COUNTIFS($G$2:$G$51, 0, $T$2:$T$51, 1)</f>
        <v>2</v>
      </c>
    </row>
    <row r="4" spans="1:27" x14ac:dyDescent="0.25">
      <c r="A4" s="6" t="s">
        <v>6</v>
      </c>
      <c r="B4" s="6" t="s">
        <v>114</v>
      </c>
      <c r="C4" s="6" t="s">
        <v>217</v>
      </c>
      <c r="D4" s="11" t="s">
        <v>216</v>
      </c>
      <c r="E4" s="6">
        <f t="shared" si="1"/>
        <v>9</v>
      </c>
      <c r="F4" s="6" t="s">
        <v>140</v>
      </c>
      <c r="G4" s="5">
        <f t="shared" si="0"/>
        <v>0</v>
      </c>
      <c r="H4" s="6" t="s">
        <v>90</v>
      </c>
      <c r="I4" s="11" t="s">
        <v>142</v>
      </c>
      <c r="J4" s="6" t="s">
        <v>215</v>
      </c>
      <c r="K4" s="7" t="s">
        <v>214</v>
      </c>
      <c r="L4" s="6">
        <v>0</v>
      </c>
      <c r="M4" s="6" t="str">
        <f t="shared" si="2"/>
        <v>TN</v>
      </c>
      <c r="N4" s="6">
        <v>0</v>
      </c>
      <c r="O4" s="6" t="str">
        <f t="shared" si="3"/>
        <v>TN</v>
      </c>
      <c r="P4" s="6">
        <v>0</v>
      </c>
      <c r="Q4" s="6" t="str">
        <f t="shared" si="4"/>
        <v>TN</v>
      </c>
      <c r="R4" s="6">
        <v>1</v>
      </c>
      <c r="S4" s="6" t="str">
        <f t="shared" si="5"/>
        <v>FP</v>
      </c>
      <c r="T4" s="6">
        <v>0</v>
      </c>
      <c r="U4" s="6" t="str">
        <f t="shared" si="6"/>
        <v>TN</v>
      </c>
      <c r="V4" s="5" t="s">
        <v>252</v>
      </c>
      <c r="W4" s="8">
        <f>COUNTIFS($G$2:$G$51, 1, $L$2:$L$51, 0)</f>
        <v>2</v>
      </c>
      <c r="X4" s="6">
        <f>COUNTIFS($G$2:$G$51, 1, $N$2:$N$51, 0)</f>
        <v>11</v>
      </c>
      <c r="Y4" s="6">
        <f>COUNTIFS($G$2:$G$51, 1, $P$2:$P$51, 0)</f>
        <v>14</v>
      </c>
      <c r="Z4" s="6">
        <f>COUNTIFS($G$2:$G$51, 1, $R$2:$R$51, 0)</f>
        <v>4</v>
      </c>
      <c r="AA4" s="6">
        <f>COUNTIFS($G$2:$G$51, 1, $T$2:$T$51, 0)</f>
        <v>3</v>
      </c>
    </row>
    <row r="5" spans="1:27" x14ac:dyDescent="0.25">
      <c r="A5" s="6" t="s">
        <v>7</v>
      </c>
      <c r="B5" s="6" t="s">
        <v>56</v>
      </c>
      <c r="C5" s="6" t="s">
        <v>175</v>
      </c>
      <c r="D5" s="11" t="s">
        <v>174</v>
      </c>
      <c r="E5" s="6">
        <f t="shared" si="1"/>
        <v>7</v>
      </c>
      <c r="F5" s="6" t="s">
        <v>140</v>
      </c>
      <c r="G5" s="5">
        <f t="shared" si="0"/>
        <v>0</v>
      </c>
      <c r="H5" s="6" t="s">
        <v>90</v>
      </c>
      <c r="I5" s="11" t="s">
        <v>142</v>
      </c>
      <c r="J5" s="6" t="s">
        <v>176</v>
      </c>
      <c r="K5" s="7" t="s">
        <v>177</v>
      </c>
      <c r="L5" s="6">
        <v>0</v>
      </c>
      <c r="M5" s="6" t="str">
        <f t="shared" si="2"/>
        <v>TN</v>
      </c>
      <c r="N5" s="6">
        <v>0</v>
      </c>
      <c r="O5" s="6" t="str">
        <f t="shared" si="3"/>
        <v>TN</v>
      </c>
      <c r="P5" s="6">
        <v>0</v>
      </c>
      <c r="Q5" s="6" t="str">
        <f t="shared" si="4"/>
        <v>TN</v>
      </c>
      <c r="R5" s="6">
        <v>0</v>
      </c>
      <c r="S5" s="6" t="str">
        <f t="shared" si="5"/>
        <v>TN</v>
      </c>
      <c r="T5" s="6">
        <v>0</v>
      </c>
      <c r="U5" s="6" t="str">
        <f t="shared" si="6"/>
        <v>TN</v>
      </c>
      <c r="V5" s="5" t="s">
        <v>253</v>
      </c>
      <c r="W5" s="9">
        <f>COUNTIFS($G$2:$G$51, 0, $L$2:$L$51, 0)</f>
        <v>21</v>
      </c>
      <c r="X5" s="6">
        <f>COUNTIFS($G$2:$G$51, 0, $N$2:$N$51, 0)</f>
        <v>19</v>
      </c>
      <c r="Y5" s="6">
        <f>COUNTIFS($G$2:$G$51, 0, $P$2:$P$51, 0)</f>
        <v>21</v>
      </c>
      <c r="Z5" s="6">
        <f>COUNTIFS($G$2:$G$51, 0, $R$2:$R$51, 0)</f>
        <v>18</v>
      </c>
      <c r="AA5" s="6">
        <f>COUNTIFS($G$2:$G$51, 0, $T$2:$T$51, 0)</f>
        <v>23</v>
      </c>
    </row>
    <row r="6" spans="1:27" x14ac:dyDescent="0.25">
      <c r="A6" s="6" t="s">
        <v>8</v>
      </c>
      <c r="B6" s="6" t="s">
        <v>56</v>
      </c>
      <c r="C6" s="6" t="s">
        <v>160</v>
      </c>
      <c r="D6" s="11" t="s">
        <v>159</v>
      </c>
      <c r="E6" s="6">
        <f t="shared" si="1"/>
        <v>4</v>
      </c>
      <c r="F6" s="6" t="s">
        <v>140</v>
      </c>
      <c r="G6" s="5">
        <f t="shared" si="0"/>
        <v>0</v>
      </c>
      <c r="H6" s="6" t="s">
        <v>90</v>
      </c>
      <c r="I6" s="11" t="s">
        <v>142</v>
      </c>
      <c r="J6" s="6" t="s">
        <v>161</v>
      </c>
      <c r="K6" s="7" t="s">
        <v>81</v>
      </c>
      <c r="L6" s="6">
        <v>0</v>
      </c>
      <c r="M6" s="6" t="str">
        <f t="shared" si="2"/>
        <v>TN</v>
      </c>
      <c r="N6" s="6">
        <v>0</v>
      </c>
      <c r="O6" s="6" t="str">
        <f t="shared" si="3"/>
        <v>TN</v>
      </c>
      <c r="P6" s="6">
        <v>0</v>
      </c>
      <c r="Q6" s="6" t="str">
        <f t="shared" si="4"/>
        <v>TN</v>
      </c>
      <c r="R6" s="6">
        <v>1</v>
      </c>
      <c r="S6" s="6" t="str">
        <f t="shared" si="5"/>
        <v>FP</v>
      </c>
      <c r="T6" s="6">
        <v>0</v>
      </c>
      <c r="U6" s="6" t="str">
        <f t="shared" si="6"/>
        <v>TN</v>
      </c>
      <c r="V6" s="5" t="s">
        <v>256</v>
      </c>
      <c r="W6" s="6">
        <f>(W2+W5)/50</f>
        <v>0.88</v>
      </c>
      <c r="X6" s="6">
        <f>(X2+X5)/50</f>
        <v>0.66</v>
      </c>
      <c r="Y6" s="6">
        <f>(Y2+Y5)/50</f>
        <v>0.64</v>
      </c>
      <c r="Z6" s="6">
        <f>(Z2+Z5)/50</f>
        <v>0.78</v>
      </c>
      <c r="AA6" s="6">
        <f>(AA2+AA5)/50</f>
        <v>0.9</v>
      </c>
    </row>
    <row r="7" spans="1:27" x14ac:dyDescent="0.25">
      <c r="A7" s="6" t="s">
        <v>9</v>
      </c>
      <c r="B7" s="6" t="s">
        <v>71</v>
      </c>
      <c r="C7" s="6" t="s">
        <v>100</v>
      </c>
      <c r="D7" s="11" t="s">
        <v>101</v>
      </c>
      <c r="E7" s="6">
        <f t="shared" si="1"/>
        <v>21</v>
      </c>
      <c r="F7" s="6" t="s">
        <v>59</v>
      </c>
      <c r="G7" s="5">
        <f t="shared" si="0"/>
        <v>1</v>
      </c>
      <c r="H7" s="6" t="s">
        <v>104</v>
      </c>
      <c r="I7" s="11" t="s">
        <v>102</v>
      </c>
      <c r="J7" s="6" t="s">
        <v>104</v>
      </c>
      <c r="K7" s="12" t="s">
        <v>283</v>
      </c>
      <c r="L7" s="6">
        <v>1</v>
      </c>
      <c r="M7" s="6" t="str">
        <f t="shared" si="2"/>
        <v>TP</v>
      </c>
      <c r="N7" s="6">
        <v>0</v>
      </c>
      <c r="O7" s="6" t="str">
        <f t="shared" si="3"/>
        <v>FN</v>
      </c>
      <c r="P7" s="6">
        <v>0</v>
      </c>
      <c r="Q7" s="6" t="str">
        <f t="shared" si="4"/>
        <v>FN</v>
      </c>
      <c r="R7" s="6">
        <v>0</v>
      </c>
      <c r="S7" s="6" t="str">
        <f t="shared" si="5"/>
        <v>FN</v>
      </c>
      <c r="T7" s="6">
        <v>1</v>
      </c>
      <c r="U7" s="6" t="str">
        <f t="shared" si="6"/>
        <v>TP</v>
      </c>
      <c r="V7" s="5" t="s">
        <v>254</v>
      </c>
      <c r="W7" s="6">
        <f>(W6 - 0.5) / 0.5</f>
        <v>0.76</v>
      </c>
      <c r="X7" s="6">
        <f>(X6 - 0.5) / 0.5</f>
        <v>0.32000000000000006</v>
      </c>
      <c r="Y7" s="6">
        <f>(Y6 - 0.5) / 0.5</f>
        <v>0.28000000000000003</v>
      </c>
      <c r="Z7" s="6">
        <f>(Z6 - 0.5) / 0.5</f>
        <v>0.56000000000000005</v>
      </c>
      <c r="AA7" s="6">
        <f>(AA6 - 0.5) / 0.5</f>
        <v>0.8</v>
      </c>
    </row>
    <row r="8" spans="1:27" x14ac:dyDescent="0.25">
      <c r="A8" s="6" t="s">
        <v>10</v>
      </c>
      <c r="B8" s="6" t="s">
        <v>56</v>
      </c>
      <c r="C8" s="6" t="s">
        <v>67</v>
      </c>
      <c r="D8" s="11" t="s">
        <v>166</v>
      </c>
      <c r="E8" s="6">
        <f t="shared" si="1"/>
        <v>7</v>
      </c>
      <c r="F8" s="6" t="s">
        <v>140</v>
      </c>
      <c r="G8" s="5">
        <f t="shared" si="0"/>
        <v>0</v>
      </c>
      <c r="H8" s="6" t="s">
        <v>90</v>
      </c>
      <c r="I8" s="11" t="s">
        <v>142</v>
      </c>
      <c r="J8" s="6" t="s">
        <v>167</v>
      </c>
      <c r="K8" s="7" t="s">
        <v>70</v>
      </c>
      <c r="L8" s="6">
        <v>0</v>
      </c>
      <c r="M8" s="6" t="str">
        <f t="shared" si="2"/>
        <v>TN</v>
      </c>
      <c r="N8" s="6">
        <v>0</v>
      </c>
      <c r="O8" s="6" t="str">
        <f t="shared" si="3"/>
        <v>TN</v>
      </c>
      <c r="P8" s="6">
        <v>0</v>
      </c>
      <c r="Q8" s="6" t="str">
        <f t="shared" si="4"/>
        <v>TN</v>
      </c>
      <c r="R8" s="6">
        <v>0</v>
      </c>
      <c r="S8" s="6" t="str">
        <f t="shared" si="5"/>
        <v>TN</v>
      </c>
      <c r="T8" s="6">
        <v>0</v>
      </c>
      <c r="U8" s="6" t="str">
        <f t="shared" si="6"/>
        <v>TN</v>
      </c>
      <c r="V8" s="5" t="s">
        <v>255</v>
      </c>
      <c r="W8" s="9">
        <f>(2*W2) / (2*W2 + W3 + W4)</f>
        <v>0.88461538461538458</v>
      </c>
      <c r="X8" s="6">
        <f>(2*X2) / (2*X2 + X3 + X4)</f>
        <v>0.62222222222222223</v>
      </c>
      <c r="Y8" s="6">
        <f>(2*Y2) / (2*Y2 + Y3 + Y4)</f>
        <v>0.55000000000000004</v>
      </c>
      <c r="Z8" s="6">
        <f>(2*Z2) / (2*Z2 + Z3 + Z4)</f>
        <v>0.79245283018867929</v>
      </c>
      <c r="AA8" s="6">
        <f>(2*AA2) / (2*AA2 + AA3 + AA4)</f>
        <v>0.89795918367346939</v>
      </c>
    </row>
    <row r="9" spans="1:27" x14ac:dyDescent="0.25">
      <c r="A9" s="6" t="s">
        <v>11</v>
      </c>
      <c r="B9" s="6" t="s">
        <v>139</v>
      </c>
      <c r="C9" s="6" t="s">
        <v>147</v>
      </c>
      <c r="D9" s="11" t="s">
        <v>146</v>
      </c>
      <c r="E9" s="6">
        <f t="shared" si="1"/>
        <v>5</v>
      </c>
      <c r="F9" s="6" t="s">
        <v>59</v>
      </c>
      <c r="G9" s="5">
        <f t="shared" si="0"/>
        <v>1</v>
      </c>
      <c r="H9" s="6" t="s">
        <v>90</v>
      </c>
      <c r="I9" s="11" t="s">
        <v>150</v>
      </c>
      <c r="J9" s="6" t="s">
        <v>148</v>
      </c>
      <c r="K9" s="7" t="s">
        <v>149</v>
      </c>
      <c r="L9" s="6">
        <v>1</v>
      </c>
      <c r="M9" s="6" t="str">
        <f t="shared" si="2"/>
        <v>TP</v>
      </c>
      <c r="N9" s="6">
        <v>1</v>
      </c>
      <c r="O9" s="6" t="str">
        <f t="shared" si="3"/>
        <v>TP</v>
      </c>
      <c r="P9" s="6">
        <v>0</v>
      </c>
      <c r="Q9" s="6" t="str">
        <f t="shared" si="4"/>
        <v>FN</v>
      </c>
      <c r="R9" s="6">
        <v>1</v>
      </c>
      <c r="S9" s="6" t="str">
        <f t="shared" si="5"/>
        <v>TP</v>
      </c>
      <c r="T9" s="6">
        <v>1</v>
      </c>
      <c r="U9" s="6" t="str">
        <f t="shared" si="6"/>
        <v>TP</v>
      </c>
      <c r="V9" s="6"/>
      <c r="W9" s="6"/>
      <c r="X9" s="6"/>
      <c r="Y9" s="6"/>
      <c r="Z9" s="6"/>
      <c r="AA9" s="6"/>
    </row>
    <row r="10" spans="1:27" x14ac:dyDescent="0.25">
      <c r="A10" s="6" t="s">
        <v>12</v>
      </c>
      <c r="B10" s="6" t="s">
        <v>139</v>
      </c>
      <c r="C10" s="6" t="s">
        <v>158</v>
      </c>
      <c r="D10" s="11" t="s">
        <v>157</v>
      </c>
      <c r="E10" s="6">
        <f t="shared" si="1"/>
        <v>11</v>
      </c>
      <c r="F10" s="6" t="s">
        <v>59</v>
      </c>
      <c r="G10" s="5">
        <f t="shared" si="0"/>
        <v>1</v>
      </c>
      <c r="H10" s="6" t="s">
        <v>113</v>
      </c>
      <c r="I10" s="11" t="s">
        <v>287</v>
      </c>
      <c r="J10" s="6" t="s">
        <v>269</v>
      </c>
      <c r="K10" s="7" t="s">
        <v>78</v>
      </c>
      <c r="L10" s="6">
        <v>1</v>
      </c>
      <c r="M10" s="6" t="str">
        <f t="shared" si="2"/>
        <v>TP</v>
      </c>
      <c r="N10" s="6">
        <v>1</v>
      </c>
      <c r="O10" s="6" t="str">
        <f t="shared" si="3"/>
        <v>TP</v>
      </c>
      <c r="P10" s="6">
        <v>0</v>
      </c>
      <c r="Q10" s="6" t="str">
        <f t="shared" si="4"/>
        <v>FN</v>
      </c>
      <c r="R10" s="6">
        <v>1</v>
      </c>
      <c r="S10" s="6" t="str">
        <f t="shared" si="5"/>
        <v>TP</v>
      </c>
      <c r="T10" s="6">
        <v>1</v>
      </c>
      <c r="U10" s="6" t="str">
        <f t="shared" si="6"/>
        <v>TP</v>
      </c>
      <c r="V10" s="6"/>
      <c r="W10" s="6"/>
      <c r="X10" s="6"/>
      <c r="Y10" s="6"/>
      <c r="Z10" s="6"/>
      <c r="AA10" s="6"/>
    </row>
    <row r="11" spans="1:27" x14ac:dyDescent="0.25">
      <c r="A11" s="6" t="s">
        <v>13</v>
      </c>
      <c r="B11" s="6" t="s">
        <v>114</v>
      </c>
      <c r="C11" s="6" t="s">
        <v>117</v>
      </c>
      <c r="D11" s="11" t="s">
        <v>111</v>
      </c>
      <c r="E11" s="6">
        <f t="shared" si="1"/>
        <v>12</v>
      </c>
      <c r="F11" s="6" t="s">
        <v>59</v>
      </c>
      <c r="G11" s="5">
        <f t="shared" si="0"/>
        <v>1</v>
      </c>
      <c r="H11" s="6" t="s">
        <v>113</v>
      </c>
      <c r="I11" s="11" t="s">
        <v>112</v>
      </c>
      <c r="J11" s="6" t="s">
        <v>116</v>
      </c>
      <c r="K11" s="7" t="s">
        <v>115</v>
      </c>
      <c r="L11" s="6">
        <v>0</v>
      </c>
      <c r="M11" s="6" t="str">
        <f t="shared" si="2"/>
        <v>FN</v>
      </c>
      <c r="N11" s="6">
        <v>0</v>
      </c>
      <c r="O11" s="6" t="str">
        <f t="shared" si="3"/>
        <v>FN</v>
      </c>
      <c r="P11" s="6">
        <v>0</v>
      </c>
      <c r="Q11" s="6" t="str">
        <f t="shared" si="4"/>
        <v>FN</v>
      </c>
      <c r="R11" s="6">
        <v>1</v>
      </c>
      <c r="S11" s="6" t="str">
        <f t="shared" si="5"/>
        <v>TP</v>
      </c>
      <c r="T11" s="6">
        <v>0</v>
      </c>
      <c r="U11" s="6" t="str">
        <f t="shared" si="6"/>
        <v>FN</v>
      </c>
      <c r="V11" s="6"/>
      <c r="W11" s="6"/>
      <c r="X11" s="6"/>
      <c r="Y11" s="6"/>
      <c r="Z11" s="6"/>
      <c r="AA11" s="6"/>
    </row>
    <row r="12" spans="1:27" x14ac:dyDescent="0.25">
      <c r="A12" s="6" t="s">
        <v>14</v>
      </c>
      <c r="B12" s="6" t="s">
        <v>71</v>
      </c>
      <c r="C12" s="6" t="s">
        <v>163</v>
      </c>
      <c r="D12" s="11" t="s">
        <v>162</v>
      </c>
      <c r="E12" s="6">
        <f t="shared" si="1"/>
        <v>13</v>
      </c>
      <c r="F12" s="6" t="s">
        <v>140</v>
      </c>
      <c r="G12" s="5">
        <f t="shared" si="0"/>
        <v>0</v>
      </c>
      <c r="H12" s="6" t="s">
        <v>90</v>
      </c>
      <c r="I12" s="11" t="s">
        <v>142</v>
      </c>
      <c r="J12" s="6" t="s">
        <v>164</v>
      </c>
      <c r="K12" s="7" t="s">
        <v>165</v>
      </c>
      <c r="L12" s="6">
        <v>0</v>
      </c>
      <c r="M12" s="6" t="str">
        <f t="shared" si="2"/>
        <v>TN</v>
      </c>
      <c r="N12" s="6">
        <v>0</v>
      </c>
      <c r="O12" s="6" t="str">
        <f t="shared" si="3"/>
        <v>TN</v>
      </c>
      <c r="P12" s="6">
        <v>0</v>
      </c>
      <c r="Q12" s="6" t="str">
        <f t="shared" si="4"/>
        <v>TN</v>
      </c>
      <c r="R12" s="6">
        <v>0</v>
      </c>
      <c r="S12" s="6" t="str">
        <f t="shared" si="5"/>
        <v>TN</v>
      </c>
      <c r="T12" s="6">
        <v>0</v>
      </c>
      <c r="U12" s="6" t="str">
        <f t="shared" si="6"/>
        <v>TN</v>
      </c>
      <c r="V12" s="6"/>
      <c r="W12" s="6"/>
      <c r="X12" s="6"/>
      <c r="Y12" s="6"/>
      <c r="Z12" s="6"/>
      <c r="AA12" s="6"/>
    </row>
    <row r="13" spans="1:27" x14ac:dyDescent="0.25">
      <c r="A13" s="6" t="s">
        <v>15</v>
      </c>
      <c r="B13" s="6" t="s">
        <v>56</v>
      </c>
      <c r="C13" s="6" t="s">
        <v>72</v>
      </c>
      <c r="D13" s="11" t="s">
        <v>73</v>
      </c>
      <c r="E13" s="6">
        <f t="shared" si="1"/>
        <v>8</v>
      </c>
      <c r="F13" s="6" t="s">
        <v>59</v>
      </c>
      <c r="G13" s="5">
        <f t="shared" si="0"/>
        <v>1</v>
      </c>
      <c r="H13" s="6" t="s">
        <v>57</v>
      </c>
      <c r="I13" s="11" t="s">
        <v>74</v>
      </c>
      <c r="J13" s="6" t="s">
        <v>271</v>
      </c>
      <c r="K13" s="10" t="s">
        <v>78</v>
      </c>
      <c r="L13" s="6">
        <v>1</v>
      </c>
      <c r="M13" s="6" t="str">
        <f t="shared" si="2"/>
        <v>TP</v>
      </c>
      <c r="N13" s="6">
        <v>1</v>
      </c>
      <c r="O13" s="6" t="str">
        <f t="shared" si="3"/>
        <v>TP</v>
      </c>
      <c r="P13" s="6">
        <v>1</v>
      </c>
      <c r="Q13" s="6" t="str">
        <f t="shared" si="4"/>
        <v>TP</v>
      </c>
      <c r="R13" s="6">
        <v>1</v>
      </c>
      <c r="S13" s="6" t="str">
        <f t="shared" si="5"/>
        <v>TP</v>
      </c>
      <c r="T13" s="6">
        <v>1</v>
      </c>
      <c r="U13" s="6" t="str">
        <f t="shared" si="6"/>
        <v>TP</v>
      </c>
      <c r="V13" s="6"/>
      <c r="W13" s="6"/>
      <c r="X13" s="6"/>
      <c r="Y13" s="6"/>
      <c r="Z13" s="6"/>
      <c r="AA13" s="6"/>
    </row>
    <row r="14" spans="1:27" x14ac:dyDescent="0.25">
      <c r="A14" s="6" t="s">
        <v>16</v>
      </c>
      <c r="B14" s="6" t="s">
        <v>71</v>
      </c>
      <c r="C14" s="6" t="s">
        <v>106</v>
      </c>
      <c r="D14" s="11" t="s">
        <v>103</v>
      </c>
      <c r="E14" s="6">
        <f t="shared" si="1"/>
        <v>15</v>
      </c>
      <c r="F14" s="6" t="s">
        <v>59</v>
      </c>
      <c r="G14" s="5">
        <f t="shared" si="0"/>
        <v>1</v>
      </c>
      <c r="H14" s="6" t="s">
        <v>104</v>
      </c>
      <c r="I14" s="14" t="s">
        <v>105</v>
      </c>
      <c r="J14" s="6" t="s">
        <v>104</v>
      </c>
      <c r="K14" s="7" t="s">
        <v>257</v>
      </c>
      <c r="L14" s="6">
        <v>1</v>
      </c>
      <c r="M14" s="6" t="str">
        <f t="shared" si="2"/>
        <v>TP</v>
      </c>
      <c r="N14" s="6">
        <v>1</v>
      </c>
      <c r="O14" s="6" t="str">
        <f t="shared" si="3"/>
        <v>TP</v>
      </c>
      <c r="P14" s="6">
        <v>0</v>
      </c>
      <c r="Q14" s="6" t="str">
        <f t="shared" si="4"/>
        <v>FN</v>
      </c>
      <c r="R14" s="6">
        <v>1</v>
      </c>
      <c r="S14" s="6" t="str">
        <f t="shared" si="5"/>
        <v>TP</v>
      </c>
      <c r="T14" s="6">
        <v>1</v>
      </c>
      <c r="U14" s="6" t="str">
        <f t="shared" si="6"/>
        <v>TP</v>
      </c>
      <c r="V14" s="6"/>
      <c r="W14" s="6"/>
      <c r="X14" s="6"/>
      <c r="Y14" s="6"/>
      <c r="Z14" s="6"/>
      <c r="AA14" s="6"/>
    </row>
    <row r="15" spans="1:27" x14ac:dyDescent="0.25">
      <c r="A15" s="6" t="s">
        <v>17</v>
      </c>
      <c r="B15" s="6" t="s">
        <v>56</v>
      </c>
      <c r="C15" s="6" t="s">
        <v>178</v>
      </c>
      <c r="D15" s="11" t="s">
        <v>179</v>
      </c>
      <c r="E15" s="6">
        <f t="shared" si="1"/>
        <v>16</v>
      </c>
      <c r="F15" s="6" t="s">
        <v>140</v>
      </c>
      <c r="G15" s="5">
        <f t="shared" si="0"/>
        <v>0</v>
      </c>
      <c r="H15" s="6" t="s">
        <v>90</v>
      </c>
      <c r="I15" s="11" t="s">
        <v>142</v>
      </c>
      <c r="J15" s="6" t="s">
        <v>176</v>
      </c>
      <c r="K15" s="7" t="s">
        <v>177</v>
      </c>
      <c r="L15" s="6">
        <v>0</v>
      </c>
      <c r="M15" s="6" t="str">
        <f t="shared" si="2"/>
        <v>TN</v>
      </c>
      <c r="N15" s="6">
        <v>0</v>
      </c>
      <c r="O15" s="6" t="str">
        <f t="shared" si="3"/>
        <v>TN</v>
      </c>
      <c r="P15" s="6">
        <v>0</v>
      </c>
      <c r="Q15" s="6" t="str">
        <f t="shared" si="4"/>
        <v>TN</v>
      </c>
      <c r="R15" s="6">
        <v>0</v>
      </c>
      <c r="S15" s="6" t="str">
        <f t="shared" si="5"/>
        <v>TN</v>
      </c>
      <c r="T15" s="6">
        <v>0</v>
      </c>
      <c r="U15" s="6" t="str">
        <f t="shared" si="6"/>
        <v>TN</v>
      </c>
      <c r="V15" s="6"/>
      <c r="W15" s="6"/>
      <c r="X15" s="6"/>
      <c r="Y15" s="6"/>
      <c r="Z15" s="6"/>
      <c r="AA15" s="6"/>
    </row>
    <row r="16" spans="1:27" x14ac:dyDescent="0.25">
      <c r="A16" s="6" t="s">
        <v>18</v>
      </c>
      <c r="B16" s="6" t="s">
        <v>114</v>
      </c>
      <c r="C16" s="6" t="s">
        <v>169</v>
      </c>
      <c r="D16" s="11" t="s">
        <v>168</v>
      </c>
      <c r="E16" s="6">
        <f t="shared" si="1"/>
        <v>3</v>
      </c>
      <c r="F16" s="6" t="s">
        <v>140</v>
      </c>
      <c r="G16" s="5">
        <f t="shared" si="0"/>
        <v>0</v>
      </c>
      <c r="H16" s="6" t="s">
        <v>90</v>
      </c>
      <c r="I16" s="15" t="s">
        <v>142</v>
      </c>
      <c r="J16" s="6" t="s">
        <v>170</v>
      </c>
      <c r="K16" s="7" t="s">
        <v>265</v>
      </c>
      <c r="L16" s="6">
        <v>1</v>
      </c>
      <c r="M16" s="6" t="str">
        <f t="shared" si="2"/>
        <v>FP</v>
      </c>
      <c r="N16" s="6">
        <v>0</v>
      </c>
      <c r="O16" s="6" t="str">
        <f t="shared" si="3"/>
        <v>TN</v>
      </c>
      <c r="P16" s="6">
        <v>0</v>
      </c>
      <c r="Q16" s="6" t="str">
        <f t="shared" si="4"/>
        <v>TN</v>
      </c>
      <c r="R16" s="6">
        <v>1</v>
      </c>
      <c r="S16" s="6" t="str">
        <f t="shared" si="5"/>
        <v>FP</v>
      </c>
      <c r="T16" s="6">
        <v>1</v>
      </c>
      <c r="U16" s="6" t="str">
        <f t="shared" si="6"/>
        <v>FP</v>
      </c>
      <c r="V16" s="6"/>
      <c r="W16" s="6"/>
      <c r="X16" s="6"/>
      <c r="Y16" s="6"/>
      <c r="Z16" s="6"/>
      <c r="AA16" s="6"/>
    </row>
    <row r="17" spans="1:27" x14ac:dyDescent="0.25">
      <c r="A17" s="6" t="s">
        <v>19</v>
      </c>
      <c r="B17" s="6" t="s">
        <v>71</v>
      </c>
      <c r="C17" s="6" t="s">
        <v>93</v>
      </c>
      <c r="D17" s="11" t="s">
        <v>89</v>
      </c>
      <c r="E17" s="6">
        <f t="shared" si="1"/>
        <v>14</v>
      </c>
      <c r="F17" s="6" t="s">
        <v>59</v>
      </c>
      <c r="G17" s="5">
        <f t="shared" si="0"/>
        <v>1</v>
      </c>
      <c r="H17" s="6" t="s">
        <v>90</v>
      </c>
      <c r="I17" s="11" t="s">
        <v>91</v>
      </c>
      <c r="J17" s="6" t="s">
        <v>272</v>
      </c>
      <c r="K17" s="7" t="s">
        <v>92</v>
      </c>
      <c r="L17" s="6">
        <v>1</v>
      </c>
      <c r="M17" s="6" t="str">
        <f t="shared" si="2"/>
        <v>TP</v>
      </c>
      <c r="N17" s="6">
        <v>1</v>
      </c>
      <c r="O17" s="6" t="str">
        <f t="shared" si="3"/>
        <v>TP</v>
      </c>
      <c r="P17" s="6">
        <v>1</v>
      </c>
      <c r="Q17" s="6" t="str">
        <f t="shared" si="4"/>
        <v>TP</v>
      </c>
      <c r="R17" s="6">
        <v>1</v>
      </c>
      <c r="S17" s="6" t="str">
        <f t="shared" si="5"/>
        <v>TP</v>
      </c>
      <c r="T17" s="6">
        <v>1</v>
      </c>
      <c r="U17" s="6" t="str">
        <f t="shared" si="6"/>
        <v>TP</v>
      </c>
      <c r="V17" s="6"/>
      <c r="W17" s="6"/>
      <c r="X17" s="6"/>
      <c r="Y17" s="6"/>
      <c r="Z17" s="6"/>
      <c r="AA17" s="6"/>
    </row>
    <row r="18" spans="1:27" x14ac:dyDescent="0.25">
      <c r="A18" s="6" t="s">
        <v>20</v>
      </c>
      <c r="B18" s="6" t="s">
        <v>139</v>
      </c>
      <c r="C18" s="6" t="s">
        <v>156</v>
      </c>
      <c r="D18" s="11" t="s">
        <v>235</v>
      </c>
      <c r="E18" s="6">
        <f t="shared" si="1"/>
        <v>15</v>
      </c>
      <c r="F18" s="6" t="s">
        <v>59</v>
      </c>
      <c r="G18" s="5">
        <f t="shared" si="0"/>
        <v>1</v>
      </c>
      <c r="H18" s="6" t="s">
        <v>90</v>
      </c>
      <c r="I18" s="11" t="s">
        <v>288</v>
      </c>
      <c r="J18" s="6" t="s">
        <v>154</v>
      </c>
      <c r="K18" s="7" t="s">
        <v>155</v>
      </c>
      <c r="L18" s="6">
        <v>1</v>
      </c>
      <c r="M18" s="6" t="str">
        <f t="shared" si="2"/>
        <v>TP</v>
      </c>
      <c r="N18" s="6">
        <v>0</v>
      </c>
      <c r="O18" s="6" t="str">
        <f t="shared" si="3"/>
        <v>FN</v>
      </c>
      <c r="P18" s="6">
        <v>0</v>
      </c>
      <c r="Q18" s="6" t="str">
        <f t="shared" si="4"/>
        <v>FN</v>
      </c>
      <c r="R18" s="6">
        <v>0</v>
      </c>
      <c r="S18" s="6" t="str">
        <f t="shared" si="5"/>
        <v>FN</v>
      </c>
      <c r="T18" s="6">
        <v>1</v>
      </c>
      <c r="U18" s="6" t="str">
        <f t="shared" si="6"/>
        <v>TP</v>
      </c>
      <c r="V18" s="6"/>
      <c r="W18" s="6"/>
      <c r="X18" s="6"/>
      <c r="Y18" s="6"/>
      <c r="Z18" s="6"/>
      <c r="AA18" s="6"/>
    </row>
    <row r="19" spans="1:27" x14ac:dyDescent="0.25">
      <c r="A19" s="6" t="s">
        <v>21</v>
      </c>
      <c r="B19" s="6" t="s">
        <v>71</v>
      </c>
      <c r="C19" s="6" t="s">
        <v>158</v>
      </c>
      <c r="D19" s="11" t="s">
        <v>185</v>
      </c>
      <c r="E19" s="6">
        <f t="shared" si="1"/>
        <v>8</v>
      </c>
      <c r="F19" s="6" t="s">
        <v>140</v>
      </c>
      <c r="G19" s="5">
        <f t="shared" si="0"/>
        <v>0</v>
      </c>
      <c r="H19" s="6" t="s">
        <v>90</v>
      </c>
      <c r="I19" s="11" t="s">
        <v>142</v>
      </c>
      <c r="J19" s="6" t="s">
        <v>152</v>
      </c>
      <c r="K19" s="7" t="s">
        <v>186</v>
      </c>
      <c r="L19" s="6">
        <v>1</v>
      </c>
      <c r="M19" s="6" t="str">
        <f t="shared" si="2"/>
        <v>FP</v>
      </c>
      <c r="N19" s="6">
        <v>0</v>
      </c>
      <c r="O19" s="6" t="str">
        <f t="shared" si="3"/>
        <v>TN</v>
      </c>
      <c r="P19" s="6">
        <v>1</v>
      </c>
      <c r="Q19" s="6" t="str">
        <f t="shared" si="4"/>
        <v>FP</v>
      </c>
      <c r="R19" s="6">
        <v>0</v>
      </c>
      <c r="S19" s="6" t="str">
        <f t="shared" si="5"/>
        <v>TN</v>
      </c>
      <c r="T19" s="6">
        <v>0</v>
      </c>
      <c r="U19" s="6" t="str">
        <f t="shared" si="6"/>
        <v>TN</v>
      </c>
      <c r="V19" s="6"/>
      <c r="W19" s="6"/>
      <c r="X19" s="6"/>
      <c r="Y19" s="6"/>
      <c r="Z19" s="6"/>
      <c r="AA19" s="6"/>
    </row>
    <row r="20" spans="1:27" x14ac:dyDescent="0.25">
      <c r="A20" s="6" t="s">
        <v>22</v>
      </c>
      <c r="B20" s="6" t="s">
        <v>56</v>
      </c>
      <c r="C20" s="6" t="s">
        <v>83</v>
      </c>
      <c r="D20" s="11" t="s">
        <v>79</v>
      </c>
      <c r="E20" s="6">
        <f t="shared" si="1"/>
        <v>11</v>
      </c>
      <c r="F20" s="6" t="s">
        <v>59</v>
      </c>
      <c r="G20" s="5">
        <f t="shared" si="0"/>
        <v>1</v>
      </c>
      <c r="H20" s="6" t="s">
        <v>82</v>
      </c>
      <c r="I20" s="11" t="s">
        <v>80</v>
      </c>
      <c r="J20" s="6" t="s">
        <v>273</v>
      </c>
      <c r="K20" s="7" t="s">
        <v>81</v>
      </c>
      <c r="L20" s="6">
        <v>0</v>
      </c>
      <c r="M20" s="6" t="str">
        <f t="shared" si="2"/>
        <v>FN</v>
      </c>
      <c r="N20" s="6">
        <v>1</v>
      </c>
      <c r="O20" s="6" t="str">
        <f t="shared" si="3"/>
        <v>TP</v>
      </c>
      <c r="P20" s="6">
        <v>1</v>
      </c>
      <c r="Q20" s="6" t="str">
        <f t="shared" si="4"/>
        <v>TP</v>
      </c>
      <c r="R20" s="6">
        <v>1</v>
      </c>
      <c r="S20" s="6" t="str">
        <f t="shared" si="5"/>
        <v>TP</v>
      </c>
      <c r="T20" s="6">
        <v>1</v>
      </c>
      <c r="U20" s="6" t="str">
        <f t="shared" si="6"/>
        <v>TP</v>
      </c>
      <c r="V20" s="6"/>
      <c r="W20" s="6"/>
      <c r="X20" s="6"/>
      <c r="Y20" s="6"/>
      <c r="Z20" s="6"/>
      <c r="AA20" s="6"/>
    </row>
    <row r="21" spans="1:27" x14ac:dyDescent="0.25">
      <c r="A21" s="6" t="s">
        <v>23</v>
      </c>
      <c r="B21" s="6" t="s">
        <v>71</v>
      </c>
      <c r="C21" s="6" t="s">
        <v>187</v>
      </c>
      <c r="D21" s="11" t="s">
        <v>188</v>
      </c>
      <c r="E21" s="6">
        <f t="shared" si="1"/>
        <v>8</v>
      </c>
      <c r="F21" s="6" t="s">
        <v>140</v>
      </c>
      <c r="G21" s="5">
        <f t="shared" si="0"/>
        <v>0</v>
      </c>
      <c r="H21" s="6" t="s">
        <v>90</v>
      </c>
      <c r="I21" s="11" t="s">
        <v>142</v>
      </c>
      <c r="J21" s="6" t="s">
        <v>154</v>
      </c>
      <c r="K21" s="7" t="s">
        <v>155</v>
      </c>
      <c r="L21" s="6">
        <v>0</v>
      </c>
      <c r="M21" s="6" t="str">
        <f t="shared" si="2"/>
        <v>TN</v>
      </c>
      <c r="N21" s="6">
        <v>0</v>
      </c>
      <c r="O21" s="6" t="str">
        <f t="shared" si="3"/>
        <v>TN</v>
      </c>
      <c r="P21" s="6">
        <v>0</v>
      </c>
      <c r="Q21" s="6" t="str">
        <f t="shared" si="4"/>
        <v>TN</v>
      </c>
      <c r="R21" s="6">
        <v>0</v>
      </c>
      <c r="S21" s="6" t="str">
        <f t="shared" si="5"/>
        <v>TN</v>
      </c>
      <c r="T21" s="6">
        <v>0</v>
      </c>
      <c r="U21" s="6" t="str">
        <f t="shared" si="6"/>
        <v>TN</v>
      </c>
      <c r="V21" s="6"/>
      <c r="W21" s="6"/>
      <c r="X21" s="6"/>
      <c r="Y21" s="6"/>
      <c r="Z21" s="6"/>
      <c r="AA21" s="6"/>
    </row>
    <row r="22" spans="1:27" x14ac:dyDescent="0.25">
      <c r="A22" s="6" t="s">
        <v>24</v>
      </c>
      <c r="B22" s="6" t="s">
        <v>114</v>
      </c>
      <c r="C22" s="6" t="s">
        <v>202</v>
      </c>
      <c r="D22" s="11" t="s">
        <v>201</v>
      </c>
      <c r="E22" s="6">
        <f t="shared" si="1"/>
        <v>6</v>
      </c>
      <c r="F22" s="6" t="s">
        <v>140</v>
      </c>
      <c r="G22" s="5">
        <f t="shared" si="0"/>
        <v>0</v>
      </c>
      <c r="H22" s="6" t="s">
        <v>90</v>
      </c>
      <c r="I22" s="11" t="s">
        <v>142</v>
      </c>
      <c r="J22" s="6" t="s">
        <v>200</v>
      </c>
      <c r="K22" s="7" t="s">
        <v>199</v>
      </c>
      <c r="L22" s="6">
        <v>0</v>
      </c>
      <c r="M22" s="6" t="str">
        <f t="shared" si="2"/>
        <v>TN</v>
      </c>
      <c r="N22" s="6">
        <v>0</v>
      </c>
      <c r="O22" s="6" t="str">
        <f t="shared" si="3"/>
        <v>TN</v>
      </c>
      <c r="P22" s="6">
        <v>0</v>
      </c>
      <c r="Q22" s="6" t="str">
        <f t="shared" si="4"/>
        <v>TN</v>
      </c>
      <c r="R22" s="6">
        <v>0</v>
      </c>
      <c r="S22" s="6" t="str">
        <f t="shared" si="5"/>
        <v>TN</v>
      </c>
      <c r="T22" s="6">
        <v>0</v>
      </c>
      <c r="U22" s="6" t="str">
        <f t="shared" si="6"/>
        <v>TN</v>
      </c>
      <c r="V22" s="6"/>
      <c r="W22" s="6"/>
      <c r="X22" s="6"/>
      <c r="Y22" s="6"/>
      <c r="Z22" s="6"/>
      <c r="AA22" s="6"/>
    </row>
    <row r="23" spans="1:27" x14ac:dyDescent="0.25">
      <c r="A23" s="6" t="s">
        <v>25</v>
      </c>
      <c r="B23" s="6" t="s">
        <v>71</v>
      </c>
      <c r="C23" s="6" t="s">
        <v>95</v>
      </c>
      <c r="D23" s="11" t="s">
        <v>94</v>
      </c>
      <c r="E23" s="6">
        <f t="shared" si="1"/>
        <v>13</v>
      </c>
      <c r="F23" s="6" t="s">
        <v>59</v>
      </c>
      <c r="G23" s="5">
        <f t="shared" si="0"/>
        <v>1</v>
      </c>
      <c r="H23" s="6" t="s">
        <v>90</v>
      </c>
      <c r="I23" s="11" t="s">
        <v>96</v>
      </c>
      <c r="J23" s="6" t="s">
        <v>274</v>
      </c>
      <c r="K23" s="7" t="s">
        <v>266</v>
      </c>
      <c r="L23" s="6">
        <v>1</v>
      </c>
      <c r="M23" s="6" t="str">
        <f t="shared" si="2"/>
        <v>TP</v>
      </c>
      <c r="N23" s="6">
        <v>1</v>
      </c>
      <c r="O23" s="6" t="str">
        <f t="shared" si="3"/>
        <v>TP</v>
      </c>
      <c r="P23" s="6">
        <v>0</v>
      </c>
      <c r="Q23" s="6" t="str">
        <f t="shared" si="4"/>
        <v>FN</v>
      </c>
      <c r="R23" s="6">
        <v>0</v>
      </c>
      <c r="S23" s="6" t="str">
        <f t="shared" si="5"/>
        <v>FN</v>
      </c>
      <c r="T23" s="6">
        <v>0</v>
      </c>
      <c r="U23" s="6" t="str">
        <f t="shared" si="6"/>
        <v>FN</v>
      </c>
      <c r="V23" s="6"/>
      <c r="W23" s="6"/>
      <c r="X23" s="6"/>
      <c r="Y23" s="6"/>
      <c r="Z23" s="6"/>
      <c r="AA23" s="6"/>
    </row>
    <row r="24" spans="1:27" x14ac:dyDescent="0.25">
      <c r="A24" s="6" t="s">
        <v>26</v>
      </c>
      <c r="B24" s="6" t="s">
        <v>56</v>
      </c>
      <c r="C24" s="6" t="s">
        <v>66</v>
      </c>
      <c r="D24" s="11" t="s">
        <v>236</v>
      </c>
      <c r="E24" s="6">
        <f t="shared" si="1"/>
        <v>9</v>
      </c>
      <c r="F24" s="6" t="s">
        <v>140</v>
      </c>
      <c r="G24" s="5">
        <f t="shared" si="0"/>
        <v>0</v>
      </c>
      <c r="H24" s="6" t="s">
        <v>90</v>
      </c>
      <c r="I24" s="11" t="s">
        <v>142</v>
      </c>
      <c r="J24" s="6" t="s">
        <v>183</v>
      </c>
      <c r="K24" s="7" t="s">
        <v>184</v>
      </c>
      <c r="L24" s="6">
        <v>0</v>
      </c>
      <c r="M24" s="6" t="str">
        <f t="shared" si="2"/>
        <v>TN</v>
      </c>
      <c r="N24" s="6">
        <v>0</v>
      </c>
      <c r="O24" s="6" t="str">
        <f t="shared" si="3"/>
        <v>TN</v>
      </c>
      <c r="P24" s="6">
        <v>0</v>
      </c>
      <c r="Q24" s="6" t="str">
        <f t="shared" si="4"/>
        <v>TN</v>
      </c>
      <c r="R24" s="6">
        <v>0</v>
      </c>
      <c r="S24" s="6" t="str">
        <f t="shared" si="5"/>
        <v>TN</v>
      </c>
      <c r="T24" s="6">
        <v>0</v>
      </c>
      <c r="U24" s="6" t="str">
        <f t="shared" si="6"/>
        <v>TN</v>
      </c>
      <c r="V24" s="6"/>
      <c r="W24" s="6"/>
      <c r="X24" s="6"/>
      <c r="Y24" s="6"/>
      <c r="Z24" s="6"/>
      <c r="AA24" s="6"/>
    </row>
    <row r="25" spans="1:27" x14ac:dyDescent="0.25">
      <c r="A25" s="6" t="s">
        <v>27</v>
      </c>
      <c r="B25" s="6" t="s">
        <v>71</v>
      </c>
      <c r="C25" s="6" t="s">
        <v>191</v>
      </c>
      <c r="D25" s="11" t="s">
        <v>238</v>
      </c>
      <c r="E25" s="6">
        <f t="shared" si="1"/>
        <v>9</v>
      </c>
      <c r="F25" s="6" t="s">
        <v>140</v>
      </c>
      <c r="G25" s="5">
        <f t="shared" si="0"/>
        <v>0</v>
      </c>
      <c r="H25" s="6" t="s">
        <v>90</v>
      </c>
      <c r="I25" s="11" t="s">
        <v>142</v>
      </c>
      <c r="J25" s="6" t="s">
        <v>190</v>
      </c>
      <c r="K25" s="7" t="s">
        <v>189</v>
      </c>
      <c r="L25" s="6">
        <v>0</v>
      </c>
      <c r="M25" s="6" t="str">
        <f t="shared" si="2"/>
        <v>TN</v>
      </c>
      <c r="N25" s="6">
        <v>0</v>
      </c>
      <c r="O25" s="6" t="str">
        <f t="shared" si="3"/>
        <v>TN</v>
      </c>
      <c r="P25" s="6">
        <v>0</v>
      </c>
      <c r="Q25" s="6" t="str">
        <f t="shared" si="4"/>
        <v>TN</v>
      </c>
      <c r="R25" s="6">
        <v>0</v>
      </c>
      <c r="S25" s="6" t="str">
        <f t="shared" si="5"/>
        <v>TN</v>
      </c>
      <c r="T25" s="6">
        <v>0</v>
      </c>
      <c r="U25" s="6" t="str">
        <f t="shared" si="6"/>
        <v>TN</v>
      </c>
      <c r="V25" s="6"/>
      <c r="W25" s="6"/>
      <c r="X25" s="6"/>
      <c r="Y25" s="6"/>
      <c r="Z25" s="6"/>
      <c r="AA25" s="6"/>
    </row>
    <row r="26" spans="1:27" x14ac:dyDescent="0.25">
      <c r="A26" s="6" t="s">
        <v>28</v>
      </c>
      <c r="B26" s="6" t="s">
        <v>114</v>
      </c>
      <c r="C26" s="6" t="s">
        <v>133</v>
      </c>
      <c r="D26" s="11" t="s">
        <v>135</v>
      </c>
      <c r="E26" s="6">
        <f t="shared" si="1"/>
        <v>16</v>
      </c>
      <c r="F26" s="6" t="s">
        <v>59</v>
      </c>
      <c r="G26" s="5">
        <f t="shared" si="0"/>
        <v>1</v>
      </c>
      <c r="H26" s="6" t="s">
        <v>90</v>
      </c>
      <c r="I26" s="11" t="s">
        <v>137</v>
      </c>
      <c r="J26" s="6" t="s">
        <v>136</v>
      </c>
      <c r="K26" s="7" t="s">
        <v>264</v>
      </c>
      <c r="L26" s="6">
        <v>1</v>
      </c>
      <c r="M26" s="6" t="str">
        <f t="shared" si="2"/>
        <v>TP</v>
      </c>
      <c r="N26" s="6">
        <v>0</v>
      </c>
      <c r="O26" s="6" t="str">
        <f t="shared" si="3"/>
        <v>FN</v>
      </c>
      <c r="P26" s="6">
        <v>0</v>
      </c>
      <c r="Q26" s="6" t="str">
        <f t="shared" si="4"/>
        <v>FN</v>
      </c>
      <c r="R26" s="6">
        <v>0</v>
      </c>
      <c r="S26" s="6" t="str">
        <f t="shared" si="5"/>
        <v>FN</v>
      </c>
      <c r="T26" s="6">
        <v>0</v>
      </c>
      <c r="U26" s="6" t="str">
        <f t="shared" si="6"/>
        <v>FN</v>
      </c>
      <c r="V26" s="6"/>
      <c r="W26" s="6"/>
      <c r="X26" s="6"/>
      <c r="Y26" s="6"/>
      <c r="Z26" s="6"/>
      <c r="AA26" s="6"/>
    </row>
    <row r="27" spans="1:27" x14ac:dyDescent="0.25">
      <c r="A27" s="6" t="s">
        <v>29</v>
      </c>
      <c r="B27" s="6" t="s">
        <v>56</v>
      </c>
      <c r="C27" s="6" t="s">
        <v>67</v>
      </c>
      <c r="D27" s="11" t="s">
        <v>68</v>
      </c>
      <c r="E27" s="6">
        <f t="shared" si="1"/>
        <v>8</v>
      </c>
      <c r="F27" s="6" t="s">
        <v>59</v>
      </c>
      <c r="G27" s="5">
        <f t="shared" si="0"/>
        <v>1</v>
      </c>
      <c r="H27" s="6" t="s">
        <v>57</v>
      </c>
      <c r="I27" s="11" t="s">
        <v>69</v>
      </c>
      <c r="J27" s="6" t="s">
        <v>275</v>
      </c>
      <c r="K27" s="7" t="s">
        <v>70</v>
      </c>
      <c r="L27" s="6">
        <v>1</v>
      </c>
      <c r="M27" s="6" t="str">
        <f t="shared" si="2"/>
        <v>TP</v>
      </c>
      <c r="N27" s="6">
        <v>1</v>
      </c>
      <c r="O27" s="6" t="str">
        <f t="shared" si="3"/>
        <v>TP</v>
      </c>
      <c r="P27" s="6">
        <v>1</v>
      </c>
      <c r="Q27" s="6" t="str">
        <f t="shared" si="4"/>
        <v>TP</v>
      </c>
      <c r="R27" s="6">
        <v>1</v>
      </c>
      <c r="S27" s="6" t="str">
        <f t="shared" si="5"/>
        <v>TP</v>
      </c>
      <c r="T27" s="6">
        <v>1</v>
      </c>
      <c r="U27" s="6" t="str">
        <f t="shared" si="6"/>
        <v>TP</v>
      </c>
      <c r="V27" s="6"/>
      <c r="W27" s="6"/>
      <c r="X27" s="6"/>
      <c r="Y27" s="6"/>
      <c r="Z27" s="6"/>
      <c r="AA27" s="6"/>
    </row>
    <row r="28" spans="1:27" x14ac:dyDescent="0.25">
      <c r="A28" s="6" t="s">
        <v>30</v>
      </c>
      <c r="B28" s="6" t="s">
        <v>114</v>
      </c>
      <c r="C28" s="6" t="s">
        <v>133</v>
      </c>
      <c r="D28" s="11" t="s">
        <v>131</v>
      </c>
      <c r="E28" s="6">
        <f t="shared" si="1"/>
        <v>21</v>
      </c>
      <c r="F28" s="6" t="s">
        <v>59</v>
      </c>
      <c r="G28" s="5">
        <f t="shared" si="0"/>
        <v>1</v>
      </c>
      <c r="H28" s="6" t="s">
        <v>90</v>
      </c>
      <c r="I28" s="11" t="s">
        <v>134</v>
      </c>
      <c r="J28" s="6" t="s">
        <v>132</v>
      </c>
      <c r="K28" s="7" t="s">
        <v>214</v>
      </c>
      <c r="L28" s="6">
        <v>1</v>
      </c>
      <c r="M28" s="6" t="str">
        <f t="shared" si="2"/>
        <v>TP</v>
      </c>
      <c r="N28" s="6">
        <v>0</v>
      </c>
      <c r="O28" s="6" t="str">
        <f t="shared" si="3"/>
        <v>FN</v>
      </c>
      <c r="P28" s="6">
        <v>0</v>
      </c>
      <c r="Q28" s="6" t="str">
        <f t="shared" si="4"/>
        <v>FN</v>
      </c>
      <c r="R28" s="6">
        <v>1</v>
      </c>
      <c r="S28" s="6" t="str">
        <f t="shared" si="5"/>
        <v>TP</v>
      </c>
      <c r="T28" s="6">
        <v>1</v>
      </c>
      <c r="U28" s="6" t="str">
        <f t="shared" si="6"/>
        <v>TP</v>
      </c>
      <c r="V28" s="6"/>
      <c r="W28" s="6"/>
      <c r="X28" s="6"/>
      <c r="Y28" s="6"/>
      <c r="Z28" s="6"/>
      <c r="AA28" s="6"/>
    </row>
    <row r="29" spans="1:27" x14ac:dyDescent="0.25">
      <c r="A29" s="6" t="s">
        <v>31</v>
      </c>
      <c r="B29" s="6" t="s">
        <v>139</v>
      </c>
      <c r="C29" s="6" t="s">
        <v>219</v>
      </c>
      <c r="D29" s="11" t="s">
        <v>218</v>
      </c>
      <c r="E29" s="6">
        <f t="shared" si="1"/>
        <v>11</v>
      </c>
      <c r="F29" s="6" t="s">
        <v>140</v>
      </c>
      <c r="G29" s="5">
        <f t="shared" si="0"/>
        <v>0</v>
      </c>
      <c r="H29" s="6" t="s">
        <v>90</v>
      </c>
      <c r="I29" s="11" t="s">
        <v>142</v>
      </c>
      <c r="J29" s="6" t="s">
        <v>152</v>
      </c>
      <c r="K29" s="7" t="s">
        <v>267</v>
      </c>
      <c r="L29" s="6">
        <v>0</v>
      </c>
      <c r="M29" s="6" t="str">
        <f t="shared" si="2"/>
        <v>TN</v>
      </c>
      <c r="N29" s="6">
        <v>0</v>
      </c>
      <c r="O29" s="6" t="str">
        <f t="shared" si="3"/>
        <v>TN</v>
      </c>
      <c r="P29" s="6">
        <v>0</v>
      </c>
      <c r="Q29" s="6" t="str">
        <f t="shared" si="4"/>
        <v>TN</v>
      </c>
      <c r="R29" s="6">
        <v>1</v>
      </c>
      <c r="S29" s="6" t="str">
        <f t="shared" si="5"/>
        <v>FP</v>
      </c>
      <c r="T29" s="6">
        <v>0</v>
      </c>
      <c r="U29" s="6" t="str">
        <f t="shared" si="6"/>
        <v>TN</v>
      </c>
      <c r="V29" s="6"/>
      <c r="W29" s="6"/>
      <c r="X29" s="6"/>
      <c r="Y29" s="6"/>
      <c r="Z29" s="6"/>
      <c r="AA29" s="6"/>
    </row>
    <row r="30" spans="1:27" x14ac:dyDescent="0.25">
      <c r="A30" s="6" t="s">
        <v>32</v>
      </c>
      <c r="B30" s="6" t="s">
        <v>56</v>
      </c>
      <c r="C30" s="6" t="s">
        <v>76</v>
      </c>
      <c r="D30" s="11" t="s">
        <v>75</v>
      </c>
      <c r="E30" s="6">
        <f t="shared" si="1"/>
        <v>6</v>
      </c>
      <c r="F30" s="6" t="s">
        <v>59</v>
      </c>
      <c r="G30" s="5">
        <f t="shared" si="0"/>
        <v>1</v>
      </c>
      <c r="H30" s="6" t="s">
        <v>57</v>
      </c>
      <c r="I30" s="11" t="s">
        <v>77</v>
      </c>
      <c r="J30" s="6" t="s">
        <v>276</v>
      </c>
      <c r="K30" s="12" t="s">
        <v>284</v>
      </c>
      <c r="L30" s="6">
        <v>1</v>
      </c>
      <c r="M30" s="6" t="str">
        <f t="shared" si="2"/>
        <v>TP</v>
      </c>
      <c r="N30" s="6">
        <v>0</v>
      </c>
      <c r="O30" s="6" t="str">
        <f t="shared" si="3"/>
        <v>FN</v>
      </c>
      <c r="P30" s="6">
        <v>1</v>
      </c>
      <c r="Q30" s="6" t="str">
        <f t="shared" si="4"/>
        <v>TP</v>
      </c>
      <c r="R30" s="6">
        <v>1</v>
      </c>
      <c r="S30" s="6" t="str">
        <f t="shared" si="5"/>
        <v>TP</v>
      </c>
      <c r="T30" s="6">
        <v>1</v>
      </c>
      <c r="U30" s="6" t="str">
        <f t="shared" si="6"/>
        <v>TP</v>
      </c>
      <c r="V30" s="6"/>
      <c r="W30" s="6"/>
      <c r="X30" s="6"/>
      <c r="Y30" s="6"/>
      <c r="Z30" s="6"/>
      <c r="AA30" s="6"/>
    </row>
    <row r="31" spans="1:27" x14ac:dyDescent="0.25">
      <c r="A31" s="6" t="s">
        <v>33</v>
      </c>
      <c r="B31" s="6" t="s">
        <v>71</v>
      </c>
      <c r="C31" s="6" t="s">
        <v>197</v>
      </c>
      <c r="D31" s="11" t="s">
        <v>196</v>
      </c>
      <c r="E31" s="6">
        <v>16</v>
      </c>
      <c r="F31" s="6" t="s">
        <v>140</v>
      </c>
      <c r="G31" s="5">
        <f t="shared" si="0"/>
        <v>0</v>
      </c>
      <c r="H31" s="6" t="s">
        <v>90</v>
      </c>
      <c r="I31" s="11" t="s">
        <v>142</v>
      </c>
      <c r="J31" s="6" t="s">
        <v>198</v>
      </c>
      <c r="K31" s="7" t="s">
        <v>268</v>
      </c>
      <c r="L31" s="6">
        <v>0</v>
      </c>
      <c r="M31" s="6" t="str">
        <f t="shared" si="2"/>
        <v>TN</v>
      </c>
      <c r="N31" s="6">
        <v>0</v>
      </c>
      <c r="O31" s="6" t="str">
        <f t="shared" si="3"/>
        <v>TN</v>
      </c>
      <c r="P31" s="6">
        <v>0</v>
      </c>
      <c r="Q31" s="6" t="str">
        <f t="shared" si="4"/>
        <v>TN</v>
      </c>
      <c r="R31" s="6">
        <v>0</v>
      </c>
      <c r="S31" s="6" t="str">
        <f t="shared" si="5"/>
        <v>TN</v>
      </c>
      <c r="T31" s="6">
        <v>0</v>
      </c>
      <c r="U31" s="6" t="str">
        <f t="shared" si="6"/>
        <v>TN</v>
      </c>
      <c r="V31" s="6"/>
      <c r="W31" s="6"/>
      <c r="X31" s="6"/>
      <c r="Y31" s="6"/>
      <c r="Z31" s="6"/>
      <c r="AA31" s="6"/>
    </row>
    <row r="32" spans="1:27" x14ac:dyDescent="0.25">
      <c r="A32" s="6" t="s">
        <v>34</v>
      </c>
      <c r="B32" s="6" t="s">
        <v>71</v>
      </c>
      <c r="C32" s="6" t="s">
        <v>195</v>
      </c>
      <c r="D32" s="11" t="s">
        <v>194</v>
      </c>
      <c r="E32" s="6">
        <f t="shared" ref="E32:E50" si="7">IF(LEN(TRIM(D32))=0, 0, LEN(TRIM(D32)) - LEN(SUBSTITUTE(D32, " ", "")) + 1)</f>
        <v>14</v>
      </c>
      <c r="F32" s="6" t="s">
        <v>140</v>
      </c>
      <c r="G32" s="5">
        <f t="shared" si="0"/>
        <v>0</v>
      </c>
      <c r="H32" s="6" t="s">
        <v>90</v>
      </c>
      <c r="I32" s="11" t="s">
        <v>142</v>
      </c>
      <c r="J32" s="6" t="s">
        <v>193</v>
      </c>
      <c r="K32" s="7" t="s">
        <v>192</v>
      </c>
      <c r="L32" s="6">
        <v>0</v>
      </c>
      <c r="M32" s="6" t="str">
        <f t="shared" si="2"/>
        <v>TN</v>
      </c>
      <c r="N32" s="6">
        <v>0</v>
      </c>
      <c r="O32" s="6" t="str">
        <f t="shared" si="3"/>
        <v>TN</v>
      </c>
      <c r="P32" s="6">
        <v>0</v>
      </c>
      <c r="Q32" s="6" t="str">
        <f t="shared" si="4"/>
        <v>TN</v>
      </c>
      <c r="R32" s="6">
        <v>0</v>
      </c>
      <c r="S32" s="6" t="str">
        <f t="shared" si="5"/>
        <v>TN</v>
      </c>
      <c r="T32" s="6">
        <v>0</v>
      </c>
      <c r="U32" s="6" t="str">
        <f t="shared" si="6"/>
        <v>TN</v>
      </c>
      <c r="V32" s="6"/>
      <c r="W32" s="6"/>
      <c r="X32" s="6"/>
      <c r="Y32" s="6"/>
      <c r="Z32" s="6"/>
      <c r="AA32" s="6"/>
    </row>
    <row r="33" spans="1:27" x14ac:dyDescent="0.25">
      <c r="A33" s="6" t="s">
        <v>35</v>
      </c>
      <c r="B33" s="6" t="s">
        <v>114</v>
      </c>
      <c r="C33" s="6" t="s">
        <v>117</v>
      </c>
      <c r="D33" s="11" t="s">
        <v>118</v>
      </c>
      <c r="E33" s="6">
        <f t="shared" si="7"/>
        <v>9</v>
      </c>
      <c r="F33" s="6" t="s">
        <v>59</v>
      </c>
      <c r="G33" s="5">
        <f t="shared" si="0"/>
        <v>1</v>
      </c>
      <c r="H33" s="6" t="s">
        <v>113</v>
      </c>
      <c r="I33" s="11" t="s">
        <v>119</v>
      </c>
      <c r="J33" s="6" t="s">
        <v>120</v>
      </c>
      <c r="K33" s="7" t="s">
        <v>121</v>
      </c>
      <c r="L33" s="6">
        <v>1</v>
      </c>
      <c r="M33" s="6" t="str">
        <f t="shared" si="2"/>
        <v>TP</v>
      </c>
      <c r="N33" s="6">
        <v>1</v>
      </c>
      <c r="O33" s="6" t="str">
        <f t="shared" si="3"/>
        <v>TP</v>
      </c>
      <c r="P33" s="6">
        <v>1</v>
      </c>
      <c r="Q33" s="6" t="str">
        <f t="shared" si="4"/>
        <v>TP</v>
      </c>
      <c r="R33" s="6">
        <v>1</v>
      </c>
      <c r="S33" s="6" t="str">
        <f t="shared" si="5"/>
        <v>TP</v>
      </c>
      <c r="T33" s="6">
        <v>1</v>
      </c>
      <c r="U33" s="6" t="str">
        <f t="shared" si="6"/>
        <v>TP</v>
      </c>
      <c r="V33" s="6"/>
      <c r="W33" s="6"/>
      <c r="X33" s="6"/>
      <c r="Y33" s="6"/>
      <c r="Z33" s="6"/>
      <c r="AA33" s="6"/>
    </row>
    <row r="34" spans="1:27" x14ac:dyDescent="0.25">
      <c r="A34" s="6" t="s">
        <v>36</v>
      </c>
      <c r="B34" s="6" t="s">
        <v>114</v>
      </c>
      <c r="C34" s="6" t="s">
        <v>205</v>
      </c>
      <c r="D34" s="11" t="s">
        <v>96</v>
      </c>
      <c r="E34" s="6">
        <f t="shared" si="7"/>
        <v>14</v>
      </c>
      <c r="F34" s="6" t="s">
        <v>140</v>
      </c>
      <c r="G34" s="5">
        <f t="shared" ref="G34:G51" si="8">IF(TRIM(F34)="Incorrect",1,0)</f>
        <v>0</v>
      </c>
      <c r="H34" s="6" t="s">
        <v>90</v>
      </c>
      <c r="I34" s="11" t="s">
        <v>142</v>
      </c>
      <c r="J34" s="6" t="s">
        <v>204</v>
      </c>
      <c r="K34" s="7" t="s">
        <v>203</v>
      </c>
      <c r="L34" s="6">
        <v>0</v>
      </c>
      <c r="M34" s="6" t="str">
        <f t="shared" si="2"/>
        <v>TN</v>
      </c>
      <c r="N34" s="6">
        <v>1</v>
      </c>
      <c r="O34" s="6" t="str">
        <f t="shared" si="3"/>
        <v>FP</v>
      </c>
      <c r="P34" s="6">
        <v>0</v>
      </c>
      <c r="Q34" s="6" t="str">
        <f t="shared" si="4"/>
        <v>TN</v>
      </c>
      <c r="R34" s="6">
        <v>0</v>
      </c>
      <c r="S34" s="6" t="str">
        <f t="shared" si="5"/>
        <v>TN</v>
      </c>
      <c r="T34" s="6">
        <v>0</v>
      </c>
      <c r="U34" s="6" t="str">
        <f t="shared" si="6"/>
        <v>TN</v>
      </c>
      <c r="V34" s="6"/>
      <c r="W34" s="6"/>
      <c r="X34" s="6"/>
      <c r="Y34" s="6"/>
      <c r="Z34" s="6"/>
      <c r="AA34" s="6"/>
    </row>
    <row r="35" spans="1:27" x14ac:dyDescent="0.25">
      <c r="A35" s="6" t="s">
        <v>37</v>
      </c>
      <c r="B35" s="6" t="s">
        <v>139</v>
      </c>
      <c r="C35" s="6" t="s">
        <v>228</v>
      </c>
      <c r="D35" s="11" t="s">
        <v>227</v>
      </c>
      <c r="E35" s="6">
        <f t="shared" si="7"/>
        <v>8</v>
      </c>
      <c r="F35" s="6" t="s">
        <v>140</v>
      </c>
      <c r="G35" s="5">
        <f t="shared" si="8"/>
        <v>0</v>
      </c>
      <c r="H35" s="6" t="s">
        <v>141</v>
      </c>
      <c r="I35" s="11" t="s">
        <v>142</v>
      </c>
      <c r="J35" s="6" t="s">
        <v>226</v>
      </c>
      <c r="K35" s="7" t="s">
        <v>225</v>
      </c>
      <c r="L35" s="6">
        <v>1</v>
      </c>
      <c r="M35" s="6" t="str">
        <f t="shared" si="2"/>
        <v>FP</v>
      </c>
      <c r="N35" s="6">
        <v>1</v>
      </c>
      <c r="O35" s="6" t="str">
        <f t="shared" si="3"/>
        <v>FP</v>
      </c>
      <c r="P35" s="6">
        <v>1</v>
      </c>
      <c r="Q35" s="6" t="str">
        <f t="shared" si="4"/>
        <v>FP</v>
      </c>
      <c r="R35" s="6">
        <v>1</v>
      </c>
      <c r="S35" s="6" t="str">
        <f t="shared" si="5"/>
        <v>FP</v>
      </c>
      <c r="T35" s="6">
        <v>1</v>
      </c>
      <c r="U35" s="6" t="str">
        <f t="shared" si="6"/>
        <v>FP</v>
      </c>
      <c r="V35" s="6"/>
      <c r="W35" s="6"/>
      <c r="X35" s="6"/>
      <c r="Y35" s="6"/>
      <c r="Z35" s="6"/>
      <c r="AA35" s="6"/>
    </row>
    <row r="36" spans="1:27" x14ac:dyDescent="0.25">
      <c r="A36" s="6" t="s">
        <v>38</v>
      </c>
      <c r="B36" s="6" t="s">
        <v>114</v>
      </c>
      <c r="C36" s="6" t="s">
        <v>126</v>
      </c>
      <c r="D36" s="11" t="s">
        <v>122</v>
      </c>
      <c r="E36" s="6">
        <f t="shared" si="7"/>
        <v>7</v>
      </c>
      <c r="F36" s="6" t="s">
        <v>59</v>
      </c>
      <c r="G36" s="5">
        <f t="shared" si="8"/>
        <v>1</v>
      </c>
      <c r="H36" s="6" t="s">
        <v>113</v>
      </c>
      <c r="I36" s="11" t="s">
        <v>123</v>
      </c>
      <c r="J36" s="6" t="s">
        <v>124</v>
      </c>
      <c r="K36" s="7" t="s">
        <v>125</v>
      </c>
      <c r="L36" s="6">
        <v>1</v>
      </c>
      <c r="M36" s="6" t="str">
        <f t="shared" si="2"/>
        <v>TP</v>
      </c>
      <c r="N36" s="6">
        <v>1</v>
      </c>
      <c r="O36" s="6" t="str">
        <f t="shared" si="3"/>
        <v>TP</v>
      </c>
      <c r="P36" s="6">
        <v>1</v>
      </c>
      <c r="Q36" s="6" t="str">
        <f t="shared" si="4"/>
        <v>TP</v>
      </c>
      <c r="R36" s="6">
        <v>1</v>
      </c>
      <c r="S36" s="6" t="str">
        <f t="shared" si="5"/>
        <v>TP</v>
      </c>
      <c r="T36" s="6">
        <v>1</v>
      </c>
      <c r="U36" s="6" t="str">
        <f t="shared" si="6"/>
        <v>TP</v>
      </c>
      <c r="V36" s="6"/>
      <c r="W36" s="6"/>
      <c r="X36" s="6"/>
      <c r="Y36" s="6"/>
      <c r="Z36" s="6"/>
      <c r="AA36" s="6"/>
    </row>
    <row r="37" spans="1:27" x14ac:dyDescent="0.25">
      <c r="A37" s="6" t="s">
        <v>39</v>
      </c>
      <c r="B37" s="6" t="s">
        <v>114</v>
      </c>
      <c r="C37" s="6" t="s">
        <v>172</v>
      </c>
      <c r="D37" s="11" t="s">
        <v>171</v>
      </c>
      <c r="E37" s="6">
        <v>7</v>
      </c>
      <c r="F37" s="6" t="s">
        <v>140</v>
      </c>
      <c r="G37" s="5">
        <f t="shared" si="8"/>
        <v>0</v>
      </c>
      <c r="H37" s="6" t="s">
        <v>90</v>
      </c>
      <c r="I37" s="11" t="s">
        <v>142</v>
      </c>
      <c r="J37" s="6" t="s">
        <v>258</v>
      </c>
      <c r="K37" s="12" t="s">
        <v>285</v>
      </c>
      <c r="L37" s="6">
        <v>0</v>
      </c>
      <c r="M37" s="6" t="str">
        <f t="shared" si="2"/>
        <v>TN</v>
      </c>
      <c r="N37" s="6">
        <v>0</v>
      </c>
      <c r="O37" s="6" t="str">
        <f t="shared" si="3"/>
        <v>TN</v>
      </c>
      <c r="P37" s="6">
        <v>0</v>
      </c>
      <c r="Q37" s="6" t="str">
        <f t="shared" si="4"/>
        <v>TN</v>
      </c>
      <c r="R37" s="6">
        <v>0</v>
      </c>
      <c r="S37" s="6" t="str">
        <f t="shared" si="5"/>
        <v>TN</v>
      </c>
      <c r="T37" s="6">
        <v>0</v>
      </c>
      <c r="U37" s="6" t="str">
        <f t="shared" si="6"/>
        <v>TN</v>
      </c>
      <c r="V37" s="6"/>
      <c r="W37" s="6"/>
      <c r="X37" s="6"/>
      <c r="Y37" s="6"/>
      <c r="Z37" s="6"/>
      <c r="AA37" s="6"/>
    </row>
    <row r="38" spans="1:27" x14ac:dyDescent="0.25">
      <c r="A38" s="6" t="s">
        <v>40</v>
      </c>
      <c r="B38" s="6" t="s">
        <v>56</v>
      </c>
      <c r="C38" s="6" t="s">
        <v>66</v>
      </c>
      <c r="D38" s="11" t="s">
        <v>84</v>
      </c>
      <c r="E38" s="6">
        <f t="shared" si="7"/>
        <v>12</v>
      </c>
      <c r="F38" s="6" t="s">
        <v>59</v>
      </c>
      <c r="G38" s="5">
        <f t="shared" si="8"/>
        <v>1</v>
      </c>
      <c r="H38" s="6" t="s">
        <v>82</v>
      </c>
      <c r="I38" s="11" t="s">
        <v>85</v>
      </c>
      <c r="J38" s="6" t="s">
        <v>277</v>
      </c>
      <c r="K38" s="7" t="s">
        <v>184</v>
      </c>
      <c r="L38" s="6">
        <v>1</v>
      </c>
      <c r="M38" s="6" t="str">
        <f t="shared" si="2"/>
        <v>TP</v>
      </c>
      <c r="N38" s="6">
        <v>1</v>
      </c>
      <c r="O38" s="6" t="str">
        <f t="shared" si="3"/>
        <v>TP</v>
      </c>
      <c r="P38" s="6">
        <v>0</v>
      </c>
      <c r="Q38" s="6" t="str">
        <f t="shared" si="4"/>
        <v>FN</v>
      </c>
      <c r="R38" s="6">
        <v>1</v>
      </c>
      <c r="S38" s="6" t="str">
        <f t="shared" si="5"/>
        <v>TP</v>
      </c>
      <c r="T38" s="6">
        <v>1</v>
      </c>
      <c r="U38" s="6" t="str">
        <f t="shared" si="6"/>
        <v>TP</v>
      </c>
      <c r="V38" s="6"/>
      <c r="W38" s="6"/>
      <c r="X38" s="6"/>
      <c r="Y38" s="6"/>
      <c r="Z38" s="6"/>
      <c r="AA38" s="6"/>
    </row>
    <row r="39" spans="1:27" x14ac:dyDescent="0.25">
      <c r="A39" s="6" t="s">
        <v>41</v>
      </c>
      <c r="B39" s="6" t="s">
        <v>139</v>
      </c>
      <c r="C39" s="6" t="s">
        <v>224</v>
      </c>
      <c r="D39" s="11" t="s">
        <v>223</v>
      </c>
      <c r="E39" s="6">
        <f t="shared" si="7"/>
        <v>7</v>
      </c>
      <c r="F39" s="6" t="s">
        <v>140</v>
      </c>
      <c r="G39" s="5">
        <f t="shared" si="8"/>
        <v>0</v>
      </c>
      <c r="H39" s="6" t="s">
        <v>222</v>
      </c>
      <c r="I39" s="11" t="s">
        <v>142</v>
      </c>
      <c r="J39" s="6" t="s">
        <v>221</v>
      </c>
      <c r="K39" s="7" t="s">
        <v>220</v>
      </c>
      <c r="L39" s="6">
        <v>1</v>
      </c>
      <c r="M39" s="6" t="str">
        <f t="shared" si="2"/>
        <v>FP</v>
      </c>
      <c r="N39" s="6">
        <v>1</v>
      </c>
      <c r="O39" s="6" t="str">
        <f t="shared" si="3"/>
        <v>FP</v>
      </c>
      <c r="P39" s="6">
        <v>1</v>
      </c>
      <c r="Q39" s="6" t="str">
        <f t="shared" si="4"/>
        <v>FP</v>
      </c>
      <c r="R39" s="6">
        <v>1</v>
      </c>
      <c r="S39" s="6" t="str">
        <f t="shared" si="5"/>
        <v>FP</v>
      </c>
      <c r="T39" s="6">
        <v>0</v>
      </c>
      <c r="U39" s="6" t="str">
        <f t="shared" si="6"/>
        <v>TN</v>
      </c>
      <c r="V39" s="6"/>
      <c r="W39" s="6"/>
      <c r="X39" s="6"/>
      <c r="Y39" s="6"/>
      <c r="Z39" s="6"/>
      <c r="AA39" s="6"/>
    </row>
    <row r="40" spans="1:27" x14ac:dyDescent="0.25">
      <c r="A40" s="6" t="s">
        <v>42</v>
      </c>
      <c r="B40" s="6" t="s">
        <v>139</v>
      </c>
      <c r="C40" s="6" t="s">
        <v>144</v>
      </c>
      <c r="D40" s="11" t="s">
        <v>151</v>
      </c>
      <c r="E40" s="6">
        <v>9</v>
      </c>
      <c r="F40" s="6" t="s">
        <v>59</v>
      </c>
      <c r="G40" s="5">
        <f t="shared" si="8"/>
        <v>1</v>
      </c>
      <c r="H40" s="6" t="s">
        <v>90</v>
      </c>
      <c r="I40" s="11" t="s">
        <v>153</v>
      </c>
      <c r="J40" s="6" t="s">
        <v>152</v>
      </c>
      <c r="K40" s="7" t="s">
        <v>186</v>
      </c>
      <c r="L40" s="6">
        <v>1</v>
      </c>
      <c r="M40" s="6" t="str">
        <f t="shared" si="2"/>
        <v>TP</v>
      </c>
      <c r="N40" s="6">
        <v>0</v>
      </c>
      <c r="O40" s="6" t="str">
        <f t="shared" si="3"/>
        <v>FN</v>
      </c>
      <c r="P40" s="6">
        <v>0</v>
      </c>
      <c r="Q40" s="6" t="str">
        <f t="shared" si="4"/>
        <v>FN</v>
      </c>
      <c r="R40" s="6">
        <v>1</v>
      </c>
      <c r="S40" s="6" t="str">
        <f t="shared" si="5"/>
        <v>TP</v>
      </c>
      <c r="T40" s="6">
        <v>1</v>
      </c>
      <c r="U40" s="6" t="str">
        <f t="shared" si="6"/>
        <v>TP</v>
      </c>
      <c r="V40" s="6"/>
      <c r="W40" s="6"/>
      <c r="X40" s="6"/>
      <c r="Y40" s="6"/>
      <c r="Z40" s="6"/>
      <c r="AA40" s="6"/>
    </row>
    <row r="41" spans="1:27" x14ac:dyDescent="0.25">
      <c r="A41" s="6" t="s">
        <v>43</v>
      </c>
      <c r="B41" s="6" t="s">
        <v>114</v>
      </c>
      <c r="C41" s="6" t="s">
        <v>213</v>
      </c>
      <c r="D41" s="11" t="s">
        <v>212</v>
      </c>
      <c r="E41" s="6">
        <f t="shared" si="7"/>
        <v>11</v>
      </c>
      <c r="F41" s="6" t="s">
        <v>140</v>
      </c>
      <c r="G41" s="5">
        <f t="shared" si="8"/>
        <v>0</v>
      </c>
      <c r="H41" s="6" t="s">
        <v>90</v>
      </c>
      <c r="I41" s="11" t="s">
        <v>142</v>
      </c>
      <c r="J41" s="6" t="s">
        <v>211</v>
      </c>
      <c r="K41" s="7" t="s">
        <v>210</v>
      </c>
      <c r="L41" s="6">
        <v>0</v>
      </c>
      <c r="M41" s="6" t="str">
        <f t="shared" si="2"/>
        <v>TN</v>
      </c>
      <c r="N41" s="6">
        <v>1</v>
      </c>
      <c r="O41" s="6" t="str">
        <f t="shared" si="3"/>
        <v>FP</v>
      </c>
      <c r="P41" s="6">
        <v>0</v>
      </c>
      <c r="Q41" s="6" t="str">
        <f t="shared" si="4"/>
        <v>TN</v>
      </c>
      <c r="R41" s="6">
        <v>0</v>
      </c>
      <c r="S41" s="6" t="str">
        <f t="shared" si="5"/>
        <v>TN</v>
      </c>
      <c r="T41" s="6">
        <v>0</v>
      </c>
      <c r="U41" s="6" t="str">
        <f t="shared" si="6"/>
        <v>TN</v>
      </c>
      <c r="V41" s="6"/>
      <c r="W41" s="6"/>
      <c r="X41" s="6"/>
      <c r="Y41" s="6"/>
      <c r="Z41" s="6"/>
      <c r="AA41" s="6"/>
    </row>
    <row r="42" spans="1:27" x14ac:dyDescent="0.25">
      <c r="A42" s="6" t="s">
        <v>44</v>
      </c>
      <c r="B42" s="6" t="s">
        <v>71</v>
      </c>
      <c r="C42" s="6" t="s">
        <v>110</v>
      </c>
      <c r="D42" s="11" t="s">
        <v>107</v>
      </c>
      <c r="E42" s="6">
        <f t="shared" si="7"/>
        <v>10</v>
      </c>
      <c r="F42" s="6" t="s">
        <v>59</v>
      </c>
      <c r="G42" s="5">
        <f t="shared" si="8"/>
        <v>1</v>
      </c>
      <c r="H42" s="6" t="s">
        <v>104</v>
      </c>
      <c r="I42" s="11" t="s">
        <v>109</v>
      </c>
      <c r="J42" s="6" t="s">
        <v>104</v>
      </c>
      <c r="K42" s="10" t="s">
        <v>108</v>
      </c>
      <c r="L42" s="6">
        <v>1</v>
      </c>
      <c r="M42" s="6" t="str">
        <f t="shared" si="2"/>
        <v>TP</v>
      </c>
      <c r="N42" s="6">
        <v>1</v>
      </c>
      <c r="O42" s="6" t="str">
        <f t="shared" si="3"/>
        <v>TP</v>
      </c>
      <c r="P42" s="6">
        <v>1</v>
      </c>
      <c r="Q42" s="6" t="str">
        <f t="shared" si="4"/>
        <v>TP</v>
      </c>
      <c r="R42" s="6">
        <v>1</v>
      </c>
      <c r="S42" s="6" t="str">
        <f t="shared" si="5"/>
        <v>TP</v>
      </c>
      <c r="T42" s="6">
        <v>1</v>
      </c>
      <c r="U42" s="6" t="str">
        <f t="shared" si="6"/>
        <v>TP</v>
      </c>
      <c r="V42" s="6"/>
      <c r="W42" s="6"/>
      <c r="X42" s="6"/>
      <c r="Y42" s="6"/>
      <c r="Z42" s="6"/>
      <c r="AA42" s="6"/>
    </row>
    <row r="43" spans="1:27" x14ac:dyDescent="0.25">
      <c r="A43" s="6" t="s">
        <v>45</v>
      </c>
      <c r="B43" s="6" t="s">
        <v>71</v>
      </c>
      <c r="C43" s="6" t="s">
        <v>99</v>
      </c>
      <c r="D43" s="11" t="s">
        <v>97</v>
      </c>
      <c r="E43" s="6">
        <f t="shared" si="7"/>
        <v>9</v>
      </c>
      <c r="F43" s="6" t="s">
        <v>59</v>
      </c>
      <c r="G43" s="5">
        <f t="shared" si="8"/>
        <v>1</v>
      </c>
      <c r="H43" s="6" t="s">
        <v>90</v>
      </c>
      <c r="I43" s="11" t="s">
        <v>98</v>
      </c>
      <c r="J43" s="6" t="s">
        <v>113</v>
      </c>
      <c r="K43" s="12" t="s">
        <v>286</v>
      </c>
      <c r="L43" s="6">
        <v>1</v>
      </c>
      <c r="M43" s="6" t="str">
        <f t="shared" si="2"/>
        <v>TP</v>
      </c>
      <c r="N43" s="6">
        <v>0</v>
      </c>
      <c r="O43" s="6" t="str">
        <f t="shared" si="3"/>
        <v>FN</v>
      </c>
      <c r="P43" s="6">
        <v>0</v>
      </c>
      <c r="Q43" s="6" t="str">
        <f t="shared" si="4"/>
        <v>FN</v>
      </c>
      <c r="R43" s="6">
        <v>1</v>
      </c>
      <c r="S43" s="6" t="str">
        <f t="shared" si="5"/>
        <v>TP</v>
      </c>
      <c r="T43" s="6">
        <v>1</v>
      </c>
      <c r="U43" s="6" t="str">
        <f t="shared" si="6"/>
        <v>TP</v>
      </c>
      <c r="V43" s="6"/>
      <c r="W43" s="6"/>
      <c r="X43" s="6"/>
      <c r="Y43" s="6"/>
      <c r="Z43" s="6"/>
      <c r="AA43" s="6"/>
    </row>
    <row r="44" spans="1:27" x14ac:dyDescent="0.25">
      <c r="A44" s="6" t="s">
        <v>53</v>
      </c>
      <c r="B44" s="6" t="s">
        <v>56</v>
      </c>
      <c r="C44" s="6" t="s">
        <v>181</v>
      </c>
      <c r="D44" s="11" t="s">
        <v>180</v>
      </c>
      <c r="E44" s="6">
        <f t="shared" si="7"/>
        <v>14</v>
      </c>
      <c r="F44" s="6" t="s">
        <v>140</v>
      </c>
      <c r="G44" s="5">
        <f t="shared" si="8"/>
        <v>0</v>
      </c>
      <c r="H44" s="6" t="s">
        <v>90</v>
      </c>
      <c r="I44" s="11" t="s">
        <v>142</v>
      </c>
      <c r="J44" s="6" t="s">
        <v>182</v>
      </c>
      <c r="K44" s="7" t="s">
        <v>259</v>
      </c>
      <c r="L44" s="6">
        <v>0</v>
      </c>
      <c r="M44" s="6" t="str">
        <f t="shared" si="2"/>
        <v>TN</v>
      </c>
      <c r="N44" s="6">
        <v>0</v>
      </c>
      <c r="O44" s="6" t="str">
        <f t="shared" si="3"/>
        <v>TN</v>
      </c>
      <c r="P44" s="6">
        <v>0</v>
      </c>
      <c r="Q44" s="6" t="str">
        <f t="shared" si="4"/>
        <v>TN</v>
      </c>
      <c r="R44" s="6">
        <v>0</v>
      </c>
      <c r="S44" s="6" t="str">
        <f t="shared" si="5"/>
        <v>TN</v>
      </c>
      <c r="T44" s="6">
        <v>0</v>
      </c>
      <c r="U44" s="6" t="str">
        <f t="shared" si="6"/>
        <v>TN</v>
      </c>
      <c r="V44" s="6"/>
      <c r="W44" s="6"/>
      <c r="X44" s="6"/>
      <c r="Y44" s="6"/>
      <c r="Z44" s="6"/>
      <c r="AA44" s="6"/>
    </row>
    <row r="45" spans="1:27" x14ac:dyDescent="0.25">
      <c r="A45" s="6" t="s">
        <v>46</v>
      </c>
      <c r="B45" s="6" t="s">
        <v>139</v>
      </c>
      <c r="C45" s="6" t="s">
        <v>156</v>
      </c>
      <c r="D45" s="11" t="s">
        <v>237</v>
      </c>
      <c r="E45" s="6">
        <v>34</v>
      </c>
      <c r="F45" s="6" t="s">
        <v>59</v>
      </c>
      <c r="G45" s="5">
        <f t="shared" si="8"/>
        <v>1</v>
      </c>
      <c r="H45" s="6" t="s">
        <v>90</v>
      </c>
      <c r="I45" s="11" t="s">
        <v>289</v>
      </c>
      <c r="J45" s="6" t="s">
        <v>154</v>
      </c>
      <c r="K45" s="7" t="s">
        <v>155</v>
      </c>
      <c r="L45" s="6">
        <v>1</v>
      </c>
      <c r="M45" s="6" t="str">
        <f t="shared" si="2"/>
        <v>TP</v>
      </c>
      <c r="N45" s="6">
        <v>0</v>
      </c>
      <c r="O45" s="6" t="str">
        <f t="shared" si="3"/>
        <v>FN</v>
      </c>
      <c r="P45" s="6">
        <v>1</v>
      </c>
      <c r="Q45" s="6" t="str">
        <f t="shared" si="4"/>
        <v>TP</v>
      </c>
      <c r="R45" s="6">
        <v>1</v>
      </c>
      <c r="S45" s="6" t="str">
        <f t="shared" si="5"/>
        <v>TP</v>
      </c>
      <c r="T45" s="6">
        <v>1</v>
      </c>
      <c r="U45" s="6" t="str">
        <f t="shared" si="6"/>
        <v>TP</v>
      </c>
      <c r="V45" s="6"/>
      <c r="W45" s="6"/>
      <c r="X45" s="6"/>
      <c r="Y45" s="6"/>
      <c r="Z45" s="6"/>
      <c r="AA45" s="6"/>
    </row>
    <row r="46" spans="1:27" x14ac:dyDescent="0.25">
      <c r="A46" s="6" t="s">
        <v>47</v>
      </c>
      <c r="B46" s="6" t="s">
        <v>139</v>
      </c>
      <c r="C46" s="6" t="s">
        <v>234</v>
      </c>
      <c r="D46" s="11" t="s">
        <v>138</v>
      </c>
      <c r="E46" s="6">
        <f t="shared" si="7"/>
        <v>5</v>
      </c>
      <c r="F46" s="6" t="s">
        <v>140</v>
      </c>
      <c r="G46" s="5">
        <f t="shared" si="8"/>
        <v>0</v>
      </c>
      <c r="H46" s="6" t="s">
        <v>141</v>
      </c>
      <c r="I46" s="11" t="s">
        <v>142</v>
      </c>
      <c r="J46" s="6" t="s">
        <v>261</v>
      </c>
      <c r="K46" s="7" t="s">
        <v>260</v>
      </c>
      <c r="L46" s="6">
        <v>0</v>
      </c>
      <c r="M46" s="6" t="str">
        <f t="shared" si="2"/>
        <v>TN</v>
      </c>
      <c r="N46" s="6">
        <v>1</v>
      </c>
      <c r="O46" s="6" t="str">
        <f t="shared" si="3"/>
        <v>FP</v>
      </c>
      <c r="P46" s="6">
        <v>0</v>
      </c>
      <c r="Q46" s="6" t="str">
        <f t="shared" si="4"/>
        <v>TN</v>
      </c>
      <c r="R46" s="6">
        <v>1</v>
      </c>
      <c r="S46" s="6" t="str">
        <f t="shared" si="5"/>
        <v>FP</v>
      </c>
      <c r="T46" s="6">
        <v>0</v>
      </c>
      <c r="U46" s="6" t="str">
        <f t="shared" si="6"/>
        <v>TN</v>
      </c>
      <c r="V46" s="6"/>
      <c r="W46" s="6"/>
      <c r="X46" s="6"/>
      <c r="Y46" s="6"/>
      <c r="Z46" s="6"/>
      <c r="AA46" s="6"/>
    </row>
    <row r="47" spans="1:27" x14ac:dyDescent="0.25">
      <c r="A47" s="6" t="s">
        <v>48</v>
      </c>
      <c r="B47" s="6" t="s">
        <v>56</v>
      </c>
      <c r="C47" s="6" t="s">
        <v>87</v>
      </c>
      <c r="D47" s="11" t="s">
        <v>86</v>
      </c>
      <c r="E47" s="6">
        <f t="shared" si="7"/>
        <v>14</v>
      </c>
      <c r="F47" s="6" t="s">
        <v>59</v>
      </c>
      <c r="G47" s="5">
        <f t="shared" si="8"/>
        <v>1</v>
      </c>
      <c r="H47" s="6" t="s">
        <v>82</v>
      </c>
      <c r="I47" s="11" t="s">
        <v>88</v>
      </c>
      <c r="J47" s="6" t="s">
        <v>263</v>
      </c>
      <c r="K47" s="7" t="s">
        <v>262</v>
      </c>
      <c r="L47" s="6">
        <v>1</v>
      </c>
      <c r="M47" s="6" t="str">
        <f t="shared" si="2"/>
        <v>TP</v>
      </c>
      <c r="N47" s="6">
        <v>1</v>
      </c>
      <c r="O47" s="6" t="str">
        <f t="shared" si="3"/>
        <v>TP</v>
      </c>
      <c r="P47" s="6">
        <v>1</v>
      </c>
      <c r="Q47" s="6" t="str">
        <f t="shared" si="4"/>
        <v>TP</v>
      </c>
      <c r="R47" s="6">
        <v>1</v>
      </c>
      <c r="S47" s="6" t="str">
        <f t="shared" si="5"/>
        <v>TP</v>
      </c>
      <c r="T47" s="6">
        <v>1</v>
      </c>
      <c r="U47" s="6" t="str">
        <f t="shared" si="6"/>
        <v>TP</v>
      </c>
      <c r="V47" s="6"/>
      <c r="W47" s="6"/>
      <c r="X47" s="6"/>
      <c r="Y47" s="6"/>
      <c r="Z47" s="6"/>
      <c r="AA47" s="6"/>
    </row>
    <row r="48" spans="1:27" x14ac:dyDescent="0.25">
      <c r="A48" s="6" t="s">
        <v>49</v>
      </c>
      <c r="B48" s="6" t="s">
        <v>56</v>
      </c>
      <c r="C48" s="6" t="s">
        <v>67</v>
      </c>
      <c r="D48" s="11" t="s">
        <v>173</v>
      </c>
      <c r="E48" s="6">
        <v>10</v>
      </c>
      <c r="F48" s="6" t="s">
        <v>140</v>
      </c>
      <c r="G48" s="5">
        <f t="shared" si="8"/>
        <v>0</v>
      </c>
      <c r="H48" s="6" t="s">
        <v>90</v>
      </c>
      <c r="I48" s="11" t="s">
        <v>142</v>
      </c>
      <c r="J48" s="6" t="s">
        <v>167</v>
      </c>
      <c r="K48" s="7" t="s">
        <v>70</v>
      </c>
      <c r="L48" s="6">
        <v>0</v>
      </c>
      <c r="M48" s="6" t="str">
        <f t="shared" si="2"/>
        <v>TN</v>
      </c>
      <c r="N48" s="6">
        <v>0</v>
      </c>
      <c r="O48" s="6" t="str">
        <f t="shared" si="3"/>
        <v>TN</v>
      </c>
      <c r="P48" s="6">
        <v>0</v>
      </c>
      <c r="Q48" s="6" t="str">
        <f t="shared" si="4"/>
        <v>TN</v>
      </c>
      <c r="R48" s="6">
        <v>0</v>
      </c>
      <c r="S48" s="6" t="str">
        <f t="shared" si="5"/>
        <v>TN</v>
      </c>
      <c r="T48" s="6">
        <v>0</v>
      </c>
      <c r="U48" s="6" t="str">
        <f t="shared" si="6"/>
        <v>TN</v>
      </c>
      <c r="V48" s="6"/>
      <c r="W48" s="6"/>
      <c r="X48" s="6"/>
      <c r="Y48" s="6"/>
      <c r="Z48" s="6"/>
      <c r="AA48" s="6"/>
    </row>
    <row r="49" spans="1:27" x14ac:dyDescent="0.25">
      <c r="A49" s="6" t="s">
        <v>50</v>
      </c>
      <c r="B49" s="6" t="s">
        <v>139</v>
      </c>
      <c r="C49" s="6" t="s">
        <v>233</v>
      </c>
      <c r="D49" s="11" t="s">
        <v>232</v>
      </c>
      <c r="E49" s="6">
        <f t="shared" si="7"/>
        <v>6</v>
      </c>
      <c r="F49" s="6" t="s">
        <v>140</v>
      </c>
      <c r="G49" s="5">
        <f t="shared" si="8"/>
        <v>0</v>
      </c>
      <c r="H49" s="6" t="s">
        <v>231</v>
      </c>
      <c r="I49" s="11" t="s">
        <v>142</v>
      </c>
      <c r="J49" s="6" t="s">
        <v>230</v>
      </c>
      <c r="K49" s="7" t="s">
        <v>229</v>
      </c>
      <c r="L49" s="6">
        <v>0</v>
      </c>
      <c r="M49" s="6" t="str">
        <f t="shared" si="2"/>
        <v>TN</v>
      </c>
      <c r="N49" s="6">
        <v>1</v>
      </c>
      <c r="O49" s="6" t="str">
        <f t="shared" si="3"/>
        <v>FP</v>
      </c>
      <c r="P49" s="6">
        <v>1</v>
      </c>
      <c r="Q49" s="6" t="str">
        <f t="shared" si="4"/>
        <v>FP</v>
      </c>
      <c r="R49" s="6">
        <v>0</v>
      </c>
      <c r="S49" s="6" t="str">
        <f t="shared" si="5"/>
        <v>TN</v>
      </c>
      <c r="T49" s="6">
        <v>0</v>
      </c>
      <c r="U49" s="6" t="str">
        <f t="shared" si="6"/>
        <v>TN</v>
      </c>
      <c r="V49" s="6"/>
      <c r="W49" s="6"/>
      <c r="X49" s="6"/>
      <c r="Y49" s="6"/>
      <c r="Z49" s="6"/>
      <c r="AA49" s="6"/>
    </row>
    <row r="50" spans="1:27" x14ac:dyDescent="0.25">
      <c r="A50" s="6" t="s">
        <v>51</v>
      </c>
      <c r="B50" s="6" t="s">
        <v>114</v>
      </c>
      <c r="C50" s="6" t="s">
        <v>126</v>
      </c>
      <c r="D50" s="11" t="s">
        <v>127</v>
      </c>
      <c r="E50" s="6">
        <f t="shared" si="7"/>
        <v>8</v>
      </c>
      <c r="F50" s="6" t="s">
        <v>59</v>
      </c>
      <c r="G50" s="5">
        <f t="shared" si="8"/>
        <v>1</v>
      </c>
      <c r="H50" s="6" t="s">
        <v>113</v>
      </c>
      <c r="I50" s="11" t="s">
        <v>130</v>
      </c>
      <c r="J50" s="6" t="s">
        <v>128</v>
      </c>
      <c r="K50" s="7" t="s">
        <v>129</v>
      </c>
      <c r="L50" s="6">
        <v>1</v>
      </c>
      <c r="M50" s="6" t="str">
        <f t="shared" si="2"/>
        <v>TP</v>
      </c>
      <c r="N50" s="6">
        <v>0</v>
      </c>
      <c r="O50" s="6" t="str">
        <f t="shared" si="3"/>
        <v>FN</v>
      </c>
      <c r="P50" s="6">
        <v>0</v>
      </c>
      <c r="Q50" s="6" t="str">
        <f t="shared" si="4"/>
        <v>FN</v>
      </c>
      <c r="R50" s="6">
        <v>1</v>
      </c>
      <c r="S50" s="6" t="str">
        <f t="shared" si="5"/>
        <v>TP</v>
      </c>
      <c r="T50" s="6">
        <v>1</v>
      </c>
      <c r="U50" s="6" t="str">
        <f t="shared" si="6"/>
        <v>TP</v>
      </c>
      <c r="V50" s="6"/>
      <c r="W50" s="6"/>
      <c r="X50" s="6"/>
      <c r="Y50" s="6"/>
      <c r="Z50" s="6"/>
      <c r="AA50" s="6"/>
    </row>
    <row r="51" spans="1:27" x14ac:dyDescent="0.25">
      <c r="A51" s="6" t="s">
        <v>52</v>
      </c>
      <c r="B51" s="6" t="s">
        <v>139</v>
      </c>
      <c r="C51" s="6" t="s">
        <v>144</v>
      </c>
      <c r="D51" s="11" t="s">
        <v>143</v>
      </c>
      <c r="E51" s="6">
        <v>9</v>
      </c>
      <c r="F51" s="6" t="s">
        <v>59</v>
      </c>
      <c r="G51" s="5">
        <f t="shared" si="8"/>
        <v>1</v>
      </c>
      <c r="H51" s="6" t="s">
        <v>90</v>
      </c>
      <c r="I51" s="11" t="s">
        <v>145</v>
      </c>
      <c r="J51" s="6" t="s">
        <v>152</v>
      </c>
      <c r="K51" s="7" t="s">
        <v>186</v>
      </c>
      <c r="L51" s="6">
        <v>1</v>
      </c>
      <c r="M51" s="6" t="str">
        <f t="shared" si="2"/>
        <v>TP</v>
      </c>
      <c r="N51" s="6">
        <v>0</v>
      </c>
      <c r="O51" s="6" t="str">
        <f t="shared" si="3"/>
        <v>FN</v>
      </c>
      <c r="P51" s="6">
        <v>0</v>
      </c>
      <c r="Q51" s="6" t="str">
        <f t="shared" si="4"/>
        <v>FN</v>
      </c>
      <c r="R51" s="6">
        <v>1</v>
      </c>
      <c r="S51" s="6" t="str">
        <f t="shared" si="5"/>
        <v>TP</v>
      </c>
      <c r="T51" s="6">
        <v>1</v>
      </c>
      <c r="U51" s="6" t="str">
        <f t="shared" si="6"/>
        <v>TP</v>
      </c>
      <c r="V51" s="6"/>
      <c r="W51" s="6"/>
      <c r="X51" s="6"/>
      <c r="Y51" s="6"/>
      <c r="Z51" s="6"/>
      <c r="AA51" s="6"/>
    </row>
    <row r="52" spans="1:27" x14ac:dyDescent="0.25">
      <c r="A52" s="6"/>
      <c r="B52" s="6"/>
      <c r="C52" s="6"/>
      <c r="E52" s="6"/>
      <c r="F52" s="6"/>
      <c r="G52" s="6"/>
      <c r="H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25">
      <c r="A53" s="6"/>
      <c r="B53" s="6"/>
      <c r="C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25">
      <c r="A54" s="6"/>
      <c r="B54" s="6"/>
      <c r="C54" s="6"/>
      <c r="E54" s="6"/>
      <c r="F54" s="6"/>
      <c r="G54" s="5"/>
      <c r="H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25">
      <c r="A55" s="6"/>
      <c r="B55" s="6"/>
      <c r="C55" s="6"/>
      <c r="E55" s="6"/>
      <c r="F55" s="6"/>
      <c r="G55" s="6"/>
      <c r="H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25">
      <c r="A56" s="6"/>
      <c r="B56" s="6"/>
      <c r="C56" s="6"/>
      <c r="E56" s="6"/>
      <c r="F56" s="6"/>
      <c r="G56" s="6"/>
      <c r="H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25">
      <c r="A57" s="6"/>
      <c r="B57" s="6"/>
      <c r="C57" s="6"/>
      <c r="E57" s="6"/>
      <c r="F57" s="6"/>
      <c r="G57" s="6"/>
      <c r="H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25">
      <c r="A58" s="6"/>
      <c r="B58" s="6"/>
      <c r="C58" s="6"/>
      <c r="E58" s="6"/>
      <c r="F58" s="6"/>
      <c r="G58" s="5"/>
      <c r="H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25">
      <c r="A59" s="6"/>
      <c r="B59" s="6"/>
      <c r="C59" s="6"/>
      <c r="E59" s="6"/>
      <c r="F59" s="6"/>
      <c r="G59" s="6"/>
      <c r="H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25">
      <c r="A60" s="6"/>
      <c r="B60" s="6"/>
      <c r="C60" s="6"/>
      <c r="E60" s="6"/>
      <c r="F60" s="6"/>
      <c r="G60" s="6"/>
      <c r="H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5">
      <c r="A61" s="6"/>
      <c r="B61" s="6"/>
      <c r="C61" s="6"/>
      <c r="E61" s="6"/>
      <c r="F61" s="6"/>
      <c r="G61" s="6"/>
      <c r="H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6"/>
      <c r="B62" s="6"/>
      <c r="C62" s="6"/>
      <c r="E62" s="6"/>
      <c r="F62" s="6"/>
      <c r="G62" s="5"/>
      <c r="H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5">
      <c r="A63" s="6"/>
      <c r="B63" s="6"/>
      <c r="C63" s="6"/>
      <c r="E63" s="6"/>
      <c r="F63" s="6"/>
      <c r="G63" s="6"/>
      <c r="H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5">
      <c r="A64" s="6"/>
      <c r="B64" s="6"/>
      <c r="C64" s="6"/>
      <c r="E64" s="6"/>
      <c r="F64" s="6"/>
      <c r="G64" s="6"/>
      <c r="H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5">
      <c r="A65" s="6"/>
      <c r="B65" s="6"/>
      <c r="C65" s="6"/>
      <c r="E65" s="6"/>
      <c r="F65" s="6"/>
      <c r="G65" s="6"/>
      <c r="H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6"/>
      <c r="B66" s="6"/>
      <c r="C66" s="6"/>
      <c r="E66" s="6"/>
      <c r="F66" s="6"/>
      <c r="G66" s="5"/>
      <c r="H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5">
      <c r="A67" s="6"/>
      <c r="B67" s="6"/>
      <c r="C67" s="6"/>
      <c r="E67" s="6"/>
      <c r="F67" s="6"/>
      <c r="G67" s="6"/>
      <c r="H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5">
      <c r="A68" s="6"/>
      <c r="B68" s="6"/>
      <c r="C68" s="6"/>
      <c r="E68" s="6"/>
      <c r="F68" s="6"/>
      <c r="G68" s="6"/>
      <c r="H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5">
      <c r="A69" s="6"/>
      <c r="B69" s="6"/>
      <c r="C69" s="6"/>
      <c r="E69" s="6"/>
      <c r="F69" s="6"/>
      <c r="G69" s="6"/>
      <c r="H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6"/>
      <c r="B70" s="6"/>
      <c r="C70" s="6"/>
      <c r="E70" s="6"/>
      <c r="F70" s="6"/>
      <c r="G70" s="5"/>
      <c r="H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5">
      <c r="A71" s="6"/>
      <c r="B71" s="6"/>
      <c r="C71" s="6"/>
      <c r="E71" s="6"/>
      <c r="F71" s="6"/>
      <c r="G71" s="6"/>
      <c r="H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5">
      <c r="A72" s="6"/>
      <c r="B72" s="6"/>
      <c r="C72" s="6"/>
      <c r="E72" s="6"/>
      <c r="F72" s="6"/>
      <c r="G72" s="6"/>
      <c r="H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5">
      <c r="A73" s="6"/>
      <c r="B73" s="6"/>
      <c r="C73" s="6"/>
      <c r="E73" s="6"/>
      <c r="F73" s="6"/>
      <c r="G73" s="6"/>
      <c r="H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6"/>
      <c r="B74" s="6"/>
      <c r="C74" s="6"/>
      <c r="E74" s="6"/>
      <c r="F74" s="6"/>
      <c r="G74" s="5"/>
      <c r="H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x14ac:dyDescent="0.25">
      <c r="A75" s="6"/>
      <c r="B75" s="6"/>
      <c r="C75" s="6"/>
      <c r="E75" s="6"/>
      <c r="F75" s="6"/>
      <c r="G75" s="6"/>
      <c r="H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x14ac:dyDescent="0.25">
      <c r="A76" s="6"/>
      <c r="B76" s="6"/>
      <c r="C76" s="6"/>
      <c r="E76" s="6"/>
      <c r="F76" s="6"/>
      <c r="G76" s="6"/>
      <c r="H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x14ac:dyDescent="0.25">
      <c r="A77" s="6"/>
      <c r="B77" s="6"/>
      <c r="C77" s="6"/>
      <c r="E77" s="6"/>
      <c r="F77" s="6"/>
      <c r="G77" s="6"/>
      <c r="H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25">
      <c r="A78" s="6"/>
      <c r="B78" s="6"/>
      <c r="C78" s="6"/>
      <c r="E78" s="6"/>
      <c r="F78" s="6"/>
      <c r="G78" s="5"/>
      <c r="H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x14ac:dyDescent="0.25">
      <c r="A79" s="6"/>
      <c r="B79" s="6"/>
      <c r="C79" s="6"/>
      <c r="E79" s="6"/>
      <c r="F79" s="6"/>
      <c r="G79" s="6"/>
      <c r="H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x14ac:dyDescent="0.25">
      <c r="A80" s="6"/>
      <c r="B80" s="6"/>
      <c r="C80" s="6"/>
      <c r="E80" s="6"/>
      <c r="F80" s="6"/>
      <c r="G80" s="6"/>
      <c r="H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x14ac:dyDescent="0.25">
      <c r="A81" s="6"/>
      <c r="B81" s="6"/>
      <c r="C81" s="6"/>
      <c r="E81" s="6"/>
      <c r="F81" s="6"/>
      <c r="G81" s="6"/>
      <c r="H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x14ac:dyDescent="0.25">
      <c r="A82" s="6"/>
      <c r="B82" s="6"/>
      <c r="C82" s="6"/>
      <c r="E82" s="6"/>
      <c r="F82" s="6"/>
      <c r="G82" s="5"/>
      <c r="H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x14ac:dyDescent="0.25">
      <c r="A83" s="6"/>
      <c r="B83" s="6"/>
      <c r="C83" s="6"/>
      <c r="E83" s="6"/>
      <c r="F83" s="6"/>
      <c r="G83" s="6"/>
      <c r="H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x14ac:dyDescent="0.25">
      <c r="A84" s="6"/>
      <c r="B84" s="6"/>
      <c r="C84" s="6"/>
      <c r="E84" s="6"/>
      <c r="F84" s="6"/>
      <c r="G84" s="6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x14ac:dyDescent="0.25">
      <c r="A85" s="6"/>
      <c r="B85" s="6"/>
      <c r="C85" s="6"/>
      <c r="E85" s="6"/>
      <c r="F85" s="6"/>
      <c r="G85" s="6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x14ac:dyDescent="0.25">
      <c r="A86" s="6"/>
      <c r="B86" s="6"/>
      <c r="C86" s="6"/>
      <c r="E86" s="6"/>
      <c r="F86" s="6"/>
      <c r="G86" s="5"/>
      <c r="H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x14ac:dyDescent="0.25">
      <c r="A87" s="6"/>
      <c r="B87" s="6"/>
      <c r="C87" s="6"/>
      <c r="E87" s="6"/>
      <c r="F87" s="6"/>
      <c r="G87" s="6"/>
      <c r="H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x14ac:dyDescent="0.25">
      <c r="A88" s="6"/>
      <c r="B88" s="6"/>
      <c r="C88" s="6"/>
      <c r="E88" s="6"/>
      <c r="F88" s="6"/>
      <c r="G88" s="6"/>
      <c r="H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x14ac:dyDescent="0.25">
      <c r="A89" s="6"/>
      <c r="B89" s="6"/>
      <c r="C89" s="6"/>
      <c r="E89" s="6"/>
      <c r="F89" s="6"/>
      <c r="G89" s="6"/>
      <c r="H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x14ac:dyDescent="0.25">
      <c r="A90" s="6"/>
      <c r="B90" s="6"/>
      <c r="C90" s="6"/>
      <c r="E90" s="6"/>
      <c r="F90" s="6"/>
      <c r="G90" s="5"/>
      <c r="H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x14ac:dyDescent="0.25">
      <c r="A91" s="6"/>
      <c r="B91" s="6"/>
      <c r="C91" s="6"/>
      <c r="E91" s="6"/>
      <c r="F91" s="6"/>
      <c r="G91" s="6"/>
      <c r="H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x14ac:dyDescent="0.25">
      <c r="A92" s="6"/>
      <c r="B92" s="6"/>
      <c r="C92" s="6"/>
      <c r="E92" s="6"/>
      <c r="F92" s="6"/>
      <c r="G92" s="6"/>
      <c r="H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x14ac:dyDescent="0.25">
      <c r="A93" s="6"/>
      <c r="B93" s="6"/>
      <c r="C93" s="6"/>
      <c r="E93" s="6"/>
      <c r="F93" s="6"/>
      <c r="G93" s="6"/>
      <c r="H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x14ac:dyDescent="0.25">
      <c r="A94" s="6"/>
      <c r="B94" s="6"/>
      <c r="C94" s="6"/>
      <c r="E94" s="6"/>
      <c r="F94" s="6"/>
      <c r="G94" s="5"/>
      <c r="H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x14ac:dyDescent="0.25">
      <c r="A95" s="6"/>
      <c r="B95" s="6"/>
      <c r="C95" s="6"/>
      <c r="E95" s="6"/>
      <c r="F95" s="6"/>
      <c r="G95" s="6"/>
      <c r="H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x14ac:dyDescent="0.25">
      <c r="A96" s="6"/>
      <c r="B96" s="6"/>
      <c r="C96" s="6"/>
      <c r="E96" s="6"/>
      <c r="F96" s="6"/>
      <c r="G96" s="6"/>
      <c r="H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x14ac:dyDescent="0.25">
      <c r="A97" s="6"/>
      <c r="B97" s="6"/>
      <c r="C97" s="6"/>
      <c r="E97" s="6"/>
      <c r="F97" s="6"/>
      <c r="G97" s="6"/>
      <c r="H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x14ac:dyDescent="0.25">
      <c r="A98" s="6"/>
      <c r="B98" s="6"/>
      <c r="C98" s="6"/>
      <c r="E98" s="6"/>
      <c r="F98" s="6"/>
      <c r="G98" s="5"/>
      <c r="H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x14ac:dyDescent="0.25">
      <c r="A99" s="6"/>
      <c r="B99" s="6"/>
      <c r="C99" s="6"/>
      <c r="E99" s="6"/>
      <c r="F99" s="6"/>
      <c r="G99" s="6"/>
      <c r="H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x14ac:dyDescent="0.25">
      <c r="A100" s="6"/>
      <c r="B100" s="6"/>
      <c r="C100" s="6"/>
      <c r="E100" s="6"/>
      <c r="F100" s="6"/>
      <c r="G100" s="6"/>
      <c r="H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x14ac:dyDescent="0.25">
      <c r="A101" s="6"/>
      <c r="B101" s="6"/>
      <c r="C101" s="6"/>
      <c r="E101" s="6"/>
      <c r="F101" s="6"/>
      <c r="G101" s="6"/>
      <c r="H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x14ac:dyDescent="0.25">
      <c r="A102" s="6"/>
      <c r="B102" s="6"/>
      <c r="C102" s="6"/>
      <c r="E102" s="6"/>
      <c r="F102" s="6"/>
      <c r="G102" s="5"/>
      <c r="H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x14ac:dyDescent="0.25">
      <c r="A103" s="6"/>
      <c r="B103" s="6"/>
      <c r="C103" s="6"/>
      <c r="E103" s="6"/>
      <c r="F103" s="6"/>
      <c r="G103" s="6"/>
      <c r="H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x14ac:dyDescent="0.25">
      <c r="A104" s="6"/>
      <c r="B104" s="6"/>
      <c r="C104" s="6"/>
      <c r="E104" s="6"/>
      <c r="F104" s="6"/>
      <c r="G104" s="6"/>
      <c r="H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x14ac:dyDescent="0.25">
      <c r="A105" s="6"/>
      <c r="B105" s="6"/>
      <c r="C105" s="6"/>
      <c r="E105" s="6"/>
      <c r="F105" s="6"/>
      <c r="G105" s="6"/>
      <c r="H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x14ac:dyDescent="0.25">
      <c r="A106" s="6"/>
      <c r="B106" s="6"/>
      <c r="C106" s="6"/>
      <c r="E106" s="6"/>
      <c r="F106" s="6"/>
      <c r="G106" s="5"/>
      <c r="H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x14ac:dyDescent="0.25">
      <c r="A107" s="6"/>
      <c r="B107" s="6"/>
      <c r="C107" s="6"/>
      <c r="E107" s="6"/>
      <c r="F107" s="6"/>
      <c r="G107" s="6"/>
      <c r="H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x14ac:dyDescent="0.25">
      <c r="A108" s="6"/>
      <c r="B108" s="6"/>
      <c r="C108" s="6"/>
      <c r="E108" s="6"/>
      <c r="F108" s="6"/>
      <c r="G108" s="6"/>
      <c r="H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x14ac:dyDescent="0.25">
      <c r="A109" s="6"/>
      <c r="B109" s="6"/>
      <c r="C109" s="6"/>
      <c r="E109" s="6"/>
      <c r="F109" s="6"/>
      <c r="G109" s="6"/>
      <c r="H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x14ac:dyDescent="0.25">
      <c r="A110" s="6"/>
      <c r="B110" s="6"/>
      <c r="C110" s="6"/>
      <c r="E110" s="6"/>
      <c r="F110" s="6"/>
      <c r="G110" s="5"/>
      <c r="H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x14ac:dyDescent="0.25">
      <c r="A111" s="6"/>
      <c r="B111" s="6"/>
      <c r="C111" s="6"/>
      <c r="E111" s="6"/>
      <c r="F111" s="6"/>
      <c r="G111" s="6"/>
      <c r="H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x14ac:dyDescent="0.25">
      <c r="A112" s="6"/>
      <c r="B112" s="6"/>
      <c r="C112" s="6"/>
      <c r="E112" s="6"/>
      <c r="F112" s="6"/>
      <c r="G112" s="6"/>
      <c r="H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x14ac:dyDescent="0.25">
      <c r="A113" s="6"/>
      <c r="B113" s="6"/>
      <c r="C113" s="6"/>
      <c r="E113" s="6"/>
      <c r="F113" s="6"/>
      <c r="G113" s="6"/>
      <c r="H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x14ac:dyDescent="0.25">
      <c r="A114" s="6"/>
      <c r="B114" s="6"/>
      <c r="C114" s="6"/>
      <c r="E114" s="6"/>
      <c r="F114" s="6"/>
      <c r="G114" s="5"/>
      <c r="H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x14ac:dyDescent="0.25">
      <c r="A115" s="6"/>
      <c r="B115" s="6"/>
      <c r="C115" s="6"/>
      <c r="E115" s="6"/>
      <c r="F115" s="6"/>
      <c r="G115" s="6"/>
      <c r="H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x14ac:dyDescent="0.25">
      <c r="A116" s="6"/>
      <c r="B116" s="6"/>
      <c r="C116" s="6"/>
      <c r="E116" s="6"/>
      <c r="F116" s="6"/>
      <c r="G116" s="6"/>
      <c r="H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x14ac:dyDescent="0.25">
      <c r="A117" s="6"/>
      <c r="B117" s="6"/>
      <c r="C117" s="6"/>
      <c r="E117" s="6"/>
      <c r="F117" s="6"/>
      <c r="G117" s="6"/>
      <c r="H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x14ac:dyDescent="0.25">
      <c r="A118" s="6"/>
      <c r="B118" s="6"/>
      <c r="C118" s="6"/>
      <c r="E118" s="6"/>
      <c r="F118" s="6"/>
      <c r="G118" s="5"/>
      <c r="H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x14ac:dyDescent="0.25">
      <c r="A119" s="6"/>
      <c r="B119" s="6"/>
      <c r="C119" s="6"/>
      <c r="E119" s="6"/>
      <c r="F119" s="6"/>
      <c r="G119" s="6"/>
      <c r="H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x14ac:dyDescent="0.25">
      <c r="A120" s="6"/>
      <c r="B120" s="6"/>
      <c r="C120" s="6"/>
      <c r="E120" s="6"/>
      <c r="F120" s="6"/>
      <c r="G120" s="6"/>
      <c r="H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x14ac:dyDescent="0.25">
      <c r="A121" s="6"/>
      <c r="B121" s="6"/>
      <c r="C121" s="6"/>
      <c r="E121" s="6"/>
      <c r="F121" s="6"/>
      <c r="G121" s="6"/>
      <c r="H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x14ac:dyDescent="0.25">
      <c r="A122" s="6"/>
      <c r="B122" s="6"/>
      <c r="C122" s="6"/>
      <c r="E122" s="6"/>
      <c r="F122" s="6"/>
      <c r="G122" s="5"/>
      <c r="H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x14ac:dyDescent="0.25">
      <c r="A123" s="6"/>
      <c r="B123" s="6"/>
      <c r="C123" s="6"/>
      <c r="E123" s="6"/>
      <c r="F123" s="6"/>
      <c r="G123" s="6"/>
      <c r="H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x14ac:dyDescent="0.25">
      <c r="A124" s="6"/>
      <c r="B124" s="6"/>
      <c r="C124" s="6"/>
      <c r="E124" s="6"/>
      <c r="F124" s="6"/>
      <c r="G124" s="6"/>
      <c r="H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x14ac:dyDescent="0.25">
      <c r="A125" s="6"/>
      <c r="B125" s="6"/>
      <c r="C125" s="6"/>
      <c r="E125" s="6"/>
      <c r="F125" s="6"/>
      <c r="G125" s="6"/>
      <c r="H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x14ac:dyDescent="0.25">
      <c r="A126" s="6"/>
      <c r="B126" s="6"/>
      <c r="C126" s="6"/>
      <c r="E126" s="6"/>
      <c r="F126" s="6"/>
      <c r="G126" s="5"/>
      <c r="H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x14ac:dyDescent="0.25">
      <c r="A127" s="6"/>
      <c r="B127" s="6"/>
      <c r="C127" s="6"/>
      <c r="E127" s="6"/>
      <c r="F127" s="6"/>
      <c r="G127" s="6"/>
      <c r="H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x14ac:dyDescent="0.25">
      <c r="A128" s="6"/>
      <c r="B128" s="6"/>
      <c r="C128" s="6"/>
      <c r="E128" s="6"/>
      <c r="F128" s="6"/>
      <c r="G128" s="6"/>
      <c r="H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x14ac:dyDescent="0.25">
      <c r="A129" s="6"/>
      <c r="B129" s="6"/>
      <c r="C129" s="6"/>
      <c r="E129" s="6"/>
      <c r="F129" s="6"/>
      <c r="G129" s="6"/>
      <c r="H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x14ac:dyDescent="0.25">
      <c r="A130" s="6"/>
      <c r="B130" s="6"/>
      <c r="C130" s="6"/>
      <c r="E130" s="6"/>
      <c r="F130" s="6"/>
      <c r="G130" s="5"/>
      <c r="H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4" spans="1:27" x14ac:dyDescent="0.25">
      <c r="G134" s="1"/>
    </row>
    <row r="138" spans="1:27" x14ac:dyDescent="0.25">
      <c r="G138" s="1"/>
    </row>
    <row r="142" spans="1:27" x14ac:dyDescent="0.25">
      <c r="G142" s="1"/>
    </row>
    <row r="146" spans="7:7" x14ac:dyDescent="0.25">
      <c r="G146" s="1"/>
    </row>
    <row r="150" spans="7:7" x14ac:dyDescent="0.25">
      <c r="G150" s="1"/>
    </row>
    <row r="154" spans="7:7" x14ac:dyDescent="0.25">
      <c r="G154" s="1"/>
    </row>
    <row r="158" spans="7:7" x14ac:dyDescent="0.25">
      <c r="G158" s="1"/>
    </row>
    <row r="162" spans="7:7" x14ac:dyDescent="0.25">
      <c r="G162" s="1"/>
    </row>
    <row r="166" spans="7:7" x14ac:dyDescent="0.25">
      <c r="G166" s="1"/>
    </row>
    <row r="170" spans="7:7" x14ac:dyDescent="0.25">
      <c r="G170" s="1"/>
    </row>
    <row r="174" spans="7:7" x14ac:dyDescent="0.25">
      <c r="G174" s="1"/>
    </row>
    <row r="178" spans="7:7" x14ac:dyDescent="0.25">
      <c r="G178" s="1"/>
    </row>
    <row r="182" spans="7:7" x14ac:dyDescent="0.25">
      <c r="G182" s="1"/>
    </row>
    <row r="186" spans="7:7" x14ac:dyDescent="0.25">
      <c r="G186" s="1"/>
    </row>
    <row r="190" spans="7:7" x14ac:dyDescent="0.25">
      <c r="G190" s="1"/>
    </row>
    <row r="194" spans="7:7" x14ac:dyDescent="0.25">
      <c r="G194" s="1"/>
    </row>
    <row r="198" spans="7:7" x14ac:dyDescent="0.25">
      <c r="G198" s="1"/>
    </row>
  </sheetData>
  <hyperlinks>
    <hyperlink ref="K33" r:id="rId1"/>
    <hyperlink ref="K18" r:id="rId2"/>
    <hyperlink ref="K2" r:id="rId3"/>
    <hyperlink ref="K3" r:id="rId4"/>
    <hyperlink ref="K4" r:id="rId5"/>
    <hyperlink ref="K5" r:id="rId6"/>
    <hyperlink ref="K6" r:id="rId7"/>
    <hyperlink ref="K9" r:id="rId8"/>
    <hyperlink ref="K11" r:id="rId9"/>
    <hyperlink ref="K12" r:id="rId10"/>
    <hyperlink ref="K13" r:id="rId11"/>
    <hyperlink ref="K14" r:id="rId12"/>
    <hyperlink ref="K15" r:id="rId13"/>
    <hyperlink ref="K17" r:id="rId14"/>
    <hyperlink ref="K19" r:id="rId15"/>
    <hyperlink ref="K20" r:id="rId16"/>
    <hyperlink ref="K21" r:id="rId17"/>
    <hyperlink ref="K22" r:id="rId18"/>
    <hyperlink ref="K24" r:id="rId19"/>
    <hyperlink ref="K25" r:id="rId20"/>
    <hyperlink ref="K27" r:id="rId21"/>
    <hyperlink ref="K32" r:id="rId22"/>
    <hyperlink ref="K34" r:id="rId23"/>
    <hyperlink ref="K35" r:id="rId24"/>
    <hyperlink ref="K36" r:id="rId25"/>
    <hyperlink ref="K39" r:id="rId26"/>
    <hyperlink ref="K41" r:id="rId27"/>
    <hyperlink ref="K42" r:id="rId28"/>
    <hyperlink ref="K45" r:id="rId29"/>
    <hyperlink ref="K49" r:id="rId30"/>
    <hyperlink ref="K50" r:id="rId31"/>
    <hyperlink ref="K38" r:id="rId32"/>
    <hyperlink ref="K44" r:id="rId33"/>
    <hyperlink ref="K46" r:id="rId34"/>
    <hyperlink ref="K40" r:id="rId35"/>
    <hyperlink ref="K7" r:id="rId36"/>
    <hyperlink ref="K30" r:id="rId37"/>
    <hyperlink ref="K37" r:id="rId38"/>
    <hyperlink ref="K43" r:id="rId39"/>
  </hyperlinks>
  <pageMargins left="0.7" right="0.7" top="0.75" bottom="0.75" header="0.3" footer="0.3"/>
  <pageSetup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8"/>
  <sheetViews>
    <sheetView topLeftCell="A2" workbookViewId="0">
      <pane ySplit="870" activePane="bottomLeft"/>
      <selection activeCell="D2" sqref="D1:D1048576"/>
      <selection pane="bottomLeft" activeCell="C23" sqref="C23"/>
    </sheetView>
  </sheetViews>
  <sheetFormatPr defaultRowHeight="15" x14ac:dyDescent="0.25"/>
  <cols>
    <col min="3" max="3" width="18.28515625" customWidth="1"/>
  </cols>
  <sheetData>
    <row r="2" spans="1:3" x14ac:dyDescent="0.25">
      <c r="A2" s="1"/>
    </row>
    <row r="3" spans="1:3" x14ac:dyDescent="0.25">
      <c r="C3" s="1"/>
    </row>
    <row r="4" spans="1:3" x14ac:dyDescent="0.25">
      <c r="C4" s="1"/>
    </row>
    <row r="5" spans="1:3" x14ac:dyDescent="0.25">
      <c r="C5" s="1"/>
    </row>
    <row r="6" spans="1:3" x14ac:dyDescent="0.25">
      <c r="A6" s="1"/>
      <c r="C6" s="1"/>
    </row>
    <row r="7" spans="1:3" x14ac:dyDescent="0.25">
      <c r="C7" s="1"/>
    </row>
    <row r="8" spans="1:3" x14ac:dyDescent="0.25">
      <c r="C8" s="1"/>
    </row>
    <row r="9" spans="1:3" x14ac:dyDescent="0.25">
      <c r="C9" s="1"/>
    </row>
    <row r="10" spans="1:3" x14ac:dyDescent="0.25">
      <c r="A10" s="1"/>
      <c r="C10" s="1"/>
    </row>
    <row r="11" spans="1:3" x14ac:dyDescent="0.25">
      <c r="C11" s="1"/>
    </row>
    <row r="12" spans="1:3" x14ac:dyDescent="0.25">
      <c r="C12" s="1"/>
    </row>
    <row r="13" spans="1:3" x14ac:dyDescent="0.25">
      <c r="C13" s="1"/>
    </row>
    <row r="14" spans="1:3" x14ac:dyDescent="0.25">
      <c r="A14" s="1"/>
      <c r="C14" s="1"/>
    </row>
    <row r="15" spans="1:3" x14ac:dyDescent="0.25">
      <c r="C15" s="1"/>
    </row>
    <row r="16" spans="1:3" x14ac:dyDescent="0.25">
      <c r="C16" s="1"/>
    </row>
    <row r="17" spans="1:3" x14ac:dyDescent="0.25">
      <c r="C17" s="1"/>
    </row>
    <row r="18" spans="1:3" x14ac:dyDescent="0.25">
      <c r="A18" s="1"/>
      <c r="C18" s="1"/>
    </row>
    <row r="19" spans="1:3" x14ac:dyDescent="0.25">
      <c r="C19" s="1"/>
    </row>
    <row r="20" spans="1:3" x14ac:dyDescent="0.25">
      <c r="C20" s="1"/>
    </row>
    <row r="21" spans="1:3" x14ac:dyDescent="0.25">
      <c r="C21" s="1"/>
    </row>
    <row r="22" spans="1:3" x14ac:dyDescent="0.25">
      <c r="A22" s="1"/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A26" s="1"/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A30" s="1"/>
      <c r="C30" s="1"/>
    </row>
    <row r="31" spans="1:3" x14ac:dyDescent="0.25">
      <c r="C31" s="1"/>
    </row>
    <row r="32" spans="1:3" x14ac:dyDescent="0.25">
      <c r="C32" s="1"/>
    </row>
    <row r="33" spans="1:3" x14ac:dyDescent="0.25">
      <c r="C33" s="1"/>
    </row>
    <row r="34" spans="1:3" x14ac:dyDescent="0.25">
      <c r="A34" s="1"/>
      <c r="C34" s="1"/>
    </row>
    <row r="35" spans="1:3" x14ac:dyDescent="0.25">
      <c r="C35" s="1"/>
    </row>
    <row r="36" spans="1:3" x14ac:dyDescent="0.25">
      <c r="C36" s="1"/>
    </row>
    <row r="37" spans="1:3" x14ac:dyDescent="0.25">
      <c r="C37" s="1"/>
    </row>
    <row r="38" spans="1:3" x14ac:dyDescent="0.25">
      <c r="A38" s="1"/>
      <c r="C38" s="1"/>
    </row>
    <row r="39" spans="1:3" x14ac:dyDescent="0.25">
      <c r="C39" s="1"/>
    </row>
    <row r="40" spans="1:3" x14ac:dyDescent="0.25">
      <c r="C40" s="1"/>
    </row>
    <row r="41" spans="1:3" x14ac:dyDescent="0.25">
      <c r="C41" s="1"/>
    </row>
    <row r="42" spans="1:3" x14ac:dyDescent="0.25">
      <c r="A42" s="1"/>
      <c r="C42" s="1"/>
    </row>
    <row r="43" spans="1:3" x14ac:dyDescent="0.25">
      <c r="C43" s="1"/>
    </row>
    <row r="44" spans="1:3" x14ac:dyDescent="0.25">
      <c r="C44" s="1"/>
    </row>
    <row r="45" spans="1:3" x14ac:dyDescent="0.25">
      <c r="C45" s="1"/>
    </row>
    <row r="46" spans="1:3" x14ac:dyDescent="0.25">
      <c r="A46" s="1"/>
      <c r="C46" s="1"/>
    </row>
    <row r="47" spans="1:3" x14ac:dyDescent="0.25">
      <c r="C47" s="1"/>
    </row>
    <row r="48" spans="1:3" x14ac:dyDescent="0.25">
      <c r="C48" s="1"/>
    </row>
    <row r="49" spans="1:3" x14ac:dyDescent="0.25">
      <c r="C49" s="1"/>
    </row>
    <row r="50" spans="1:3" x14ac:dyDescent="0.25">
      <c r="A50" s="1"/>
      <c r="C50" s="1"/>
    </row>
    <row r="51" spans="1:3" x14ac:dyDescent="0.25">
      <c r="C51" s="1"/>
    </row>
    <row r="52" spans="1:3" x14ac:dyDescent="0.25">
      <c r="C52" s="1"/>
    </row>
    <row r="54" spans="1:3" x14ac:dyDescent="0.25">
      <c r="A54" s="1"/>
    </row>
    <row r="58" spans="1:3" x14ac:dyDescent="0.25">
      <c r="A58" s="1"/>
    </row>
    <row r="62" spans="1:3" x14ac:dyDescent="0.25">
      <c r="A62" s="1"/>
    </row>
    <row r="66" spans="1:1" x14ac:dyDescent="0.25">
      <c r="A66" s="1"/>
    </row>
    <row r="70" spans="1:1" x14ac:dyDescent="0.25">
      <c r="A70" s="1"/>
    </row>
    <row r="74" spans="1:1" x14ac:dyDescent="0.25">
      <c r="A74" s="1"/>
    </row>
    <row r="78" spans="1:1" x14ac:dyDescent="0.25">
      <c r="A78" s="1"/>
    </row>
    <row r="82" spans="1:1" x14ac:dyDescent="0.25">
      <c r="A82" s="1"/>
    </row>
    <row r="86" spans="1:1" x14ac:dyDescent="0.25">
      <c r="A86" s="1"/>
    </row>
    <row r="90" spans="1:1" x14ac:dyDescent="0.25">
      <c r="A90" s="1"/>
    </row>
    <row r="94" spans="1:1" x14ac:dyDescent="0.25">
      <c r="A94" s="1"/>
    </row>
    <row r="98" spans="1:1" x14ac:dyDescent="0.25">
      <c r="A98" s="1"/>
    </row>
    <row r="102" spans="1:1" x14ac:dyDescent="0.25">
      <c r="A102" s="1"/>
    </row>
    <row r="106" spans="1:1" x14ac:dyDescent="0.25">
      <c r="A106" s="1"/>
    </row>
    <row r="110" spans="1:1" x14ac:dyDescent="0.25">
      <c r="A110" s="1"/>
    </row>
    <row r="114" spans="1:1" x14ac:dyDescent="0.25">
      <c r="A114" s="1"/>
    </row>
    <row r="118" spans="1:1" x14ac:dyDescent="0.25">
      <c r="A118" s="1"/>
    </row>
    <row r="122" spans="1:1" x14ac:dyDescent="0.25">
      <c r="A122" s="1"/>
    </row>
    <row r="126" spans="1:1" x14ac:dyDescent="0.25">
      <c r="A126" s="1"/>
    </row>
    <row r="130" spans="1:1" x14ac:dyDescent="0.25">
      <c r="A130" s="1"/>
    </row>
    <row r="134" spans="1:1" x14ac:dyDescent="0.25">
      <c r="A134" s="1"/>
    </row>
    <row r="138" spans="1:1" x14ac:dyDescent="0.25">
      <c r="A138" s="1"/>
    </row>
    <row r="142" spans="1:1" x14ac:dyDescent="0.25">
      <c r="A142" s="1"/>
    </row>
    <row r="146" spans="1:1" x14ac:dyDescent="0.25">
      <c r="A146" s="1"/>
    </row>
    <row r="150" spans="1:1" x14ac:dyDescent="0.25">
      <c r="A150" s="1"/>
    </row>
    <row r="154" spans="1:1" x14ac:dyDescent="0.25">
      <c r="A154" s="1"/>
    </row>
    <row r="158" spans="1:1" x14ac:dyDescent="0.25">
      <c r="A158" s="1"/>
    </row>
    <row r="162" spans="1:1" x14ac:dyDescent="0.25">
      <c r="A162" s="1"/>
    </row>
    <row r="166" spans="1:1" x14ac:dyDescent="0.25">
      <c r="A166" s="1"/>
    </row>
    <row r="170" spans="1:1" x14ac:dyDescent="0.25">
      <c r="A170" s="1"/>
    </row>
    <row r="174" spans="1:1" x14ac:dyDescent="0.25">
      <c r="A174" s="1"/>
    </row>
    <row r="178" spans="1:1" x14ac:dyDescent="0.25">
      <c r="A178" s="1"/>
    </row>
    <row r="182" spans="1:1" x14ac:dyDescent="0.25">
      <c r="A182" s="1"/>
    </row>
    <row r="186" spans="1:1" x14ac:dyDescent="0.25">
      <c r="A186" s="1"/>
    </row>
    <row r="190" spans="1:1" x14ac:dyDescent="0.25">
      <c r="A190" s="1"/>
    </row>
    <row r="194" spans="1:1" x14ac:dyDescent="0.25">
      <c r="A194" s="1"/>
    </row>
    <row r="198" spans="1:1" x14ac:dyDescent="0.25">
      <c r="A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H296"/>
  <sheetViews>
    <sheetView zoomScale="110" zoomScaleNormal="110" workbookViewId="0">
      <selection activeCell="H1" sqref="H1:H1048576"/>
    </sheetView>
  </sheetViews>
  <sheetFormatPr defaultRowHeight="15" x14ac:dyDescent="0.25"/>
  <sheetData>
    <row r="2" spans="8:8" x14ac:dyDescent="0.25">
      <c r="H2" s="1"/>
    </row>
    <row r="8" spans="8:8" x14ac:dyDescent="0.25">
      <c r="H8" s="1"/>
    </row>
    <row r="14" spans="8:8" x14ac:dyDescent="0.25">
      <c r="H14" s="1"/>
    </row>
    <row r="20" spans="8:8" x14ac:dyDescent="0.25">
      <c r="H20" s="1"/>
    </row>
    <row r="26" spans="8:8" x14ac:dyDescent="0.25">
      <c r="H26" s="1"/>
    </row>
    <row r="32" spans="8:8" x14ac:dyDescent="0.25">
      <c r="H32" s="1"/>
    </row>
    <row r="38" spans="8:8" x14ac:dyDescent="0.25">
      <c r="H38" s="1"/>
    </row>
    <row r="44" spans="8:8" x14ac:dyDescent="0.25">
      <c r="H44" s="1"/>
    </row>
    <row r="50" spans="8:8" x14ac:dyDescent="0.25">
      <c r="H50" s="1"/>
    </row>
    <row r="56" spans="8:8" x14ac:dyDescent="0.25">
      <c r="H56" s="1"/>
    </row>
    <row r="62" spans="8:8" x14ac:dyDescent="0.25">
      <c r="H62" s="1"/>
    </row>
    <row r="68" spans="8:8" x14ac:dyDescent="0.25">
      <c r="H68" s="1"/>
    </row>
    <row r="74" spans="8:8" x14ac:dyDescent="0.25">
      <c r="H74" s="1"/>
    </row>
    <row r="80" spans="8:8" x14ac:dyDescent="0.25">
      <c r="H80" s="1"/>
    </row>
    <row r="86" spans="8:8" x14ac:dyDescent="0.25">
      <c r="H86" s="1"/>
    </row>
    <row r="92" spans="8:8" x14ac:dyDescent="0.25">
      <c r="H92" s="1"/>
    </row>
    <row r="98" spans="8:8" x14ac:dyDescent="0.25">
      <c r="H98" s="1"/>
    </row>
    <row r="104" spans="8:8" x14ac:dyDescent="0.25">
      <c r="H104" s="1"/>
    </row>
    <row r="110" spans="8:8" x14ac:dyDescent="0.25">
      <c r="H110" s="1"/>
    </row>
    <row r="116" spans="8:8" x14ac:dyDescent="0.25">
      <c r="H116" s="1"/>
    </row>
    <row r="122" spans="8:8" x14ac:dyDescent="0.25">
      <c r="H122" s="1"/>
    </row>
    <row r="128" spans="8:8" x14ac:dyDescent="0.25">
      <c r="H128" s="1"/>
    </row>
    <row r="134" spans="8:8" x14ac:dyDescent="0.25">
      <c r="H134" s="1"/>
    </row>
    <row r="140" spans="8:8" x14ac:dyDescent="0.25">
      <c r="H140" s="1"/>
    </row>
    <row r="146" spans="8:8" x14ac:dyDescent="0.25">
      <c r="H146" s="1"/>
    </row>
    <row r="152" spans="8:8" x14ac:dyDescent="0.25">
      <c r="H152" s="1"/>
    </row>
    <row r="158" spans="8:8" x14ac:dyDescent="0.25">
      <c r="H158" s="1"/>
    </row>
    <row r="164" spans="8:8" x14ac:dyDescent="0.25">
      <c r="H164" s="1"/>
    </row>
    <row r="170" spans="8:8" x14ac:dyDescent="0.25">
      <c r="H170" s="1"/>
    </row>
    <row r="176" spans="8:8" x14ac:dyDescent="0.25">
      <c r="H176" s="1"/>
    </row>
    <row r="182" spans="8:8" x14ac:dyDescent="0.25">
      <c r="H182" s="1"/>
    </row>
    <row r="188" spans="8:8" x14ac:dyDescent="0.25">
      <c r="H188" s="1"/>
    </row>
    <row r="194" spans="8:8" x14ac:dyDescent="0.25">
      <c r="H194" s="1"/>
    </row>
    <row r="200" spans="8:8" x14ac:dyDescent="0.25">
      <c r="H200" s="1"/>
    </row>
    <row r="206" spans="8:8" x14ac:dyDescent="0.25">
      <c r="H206" s="1"/>
    </row>
    <row r="212" spans="8:8" x14ac:dyDescent="0.25">
      <c r="H212" s="1"/>
    </row>
    <row r="218" spans="8:8" x14ac:dyDescent="0.25">
      <c r="H218" s="1"/>
    </row>
    <row r="224" spans="8:8" x14ac:dyDescent="0.25">
      <c r="H224" s="1"/>
    </row>
    <row r="230" spans="8:8" x14ac:dyDescent="0.25">
      <c r="H230" s="1"/>
    </row>
    <row r="236" spans="8:8" x14ac:dyDescent="0.25">
      <c r="H236" s="1"/>
    </row>
    <row r="242" spans="8:8" x14ac:dyDescent="0.25">
      <c r="H242" s="1"/>
    </row>
    <row r="248" spans="8:8" x14ac:dyDescent="0.25">
      <c r="H248" s="1"/>
    </row>
    <row r="254" spans="8:8" x14ac:dyDescent="0.25">
      <c r="H254" s="1"/>
    </row>
    <row r="260" spans="8:8" x14ac:dyDescent="0.25">
      <c r="H260" s="1"/>
    </row>
    <row r="266" spans="8:8" x14ac:dyDescent="0.25">
      <c r="H266" s="1"/>
    </row>
    <row r="272" spans="8:8" x14ac:dyDescent="0.25">
      <c r="H272" s="1"/>
    </row>
    <row r="278" spans="8:8" x14ac:dyDescent="0.25">
      <c r="H278" s="1"/>
    </row>
    <row r="284" spans="8:8" x14ac:dyDescent="0.25">
      <c r="H284" s="1"/>
    </row>
    <row r="290" spans="8:8" x14ac:dyDescent="0.25">
      <c r="H290" s="1"/>
    </row>
    <row r="296" spans="8:8" x14ac:dyDescent="0.25">
      <c r="H2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M502"/>
  <sheetViews>
    <sheetView workbookViewId="0">
      <selection activeCell="P1" sqref="P1:P1048576"/>
    </sheetView>
  </sheetViews>
  <sheetFormatPr defaultRowHeight="15" x14ac:dyDescent="0.25"/>
  <cols>
    <col min="1" max="1" width="24.42578125" customWidth="1"/>
    <col min="10" max="10" width="19.5703125" customWidth="1"/>
  </cols>
  <sheetData>
    <row r="4" spans="10:13" x14ac:dyDescent="0.25">
      <c r="J4" s="1"/>
    </row>
    <row r="5" spans="10:13" x14ac:dyDescent="0.25">
      <c r="J5" s="2"/>
    </row>
    <row r="6" spans="10:13" x14ac:dyDescent="0.25">
      <c r="J6" s="3"/>
      <c r="M6" s="3"/>
    </row>
    <row r="7" spans="10:13" x14ac:dyDescent="0.25">
      <c r="J7" s="2"/>
      <c r="M7" s="3"/>
    </row>
    <row r="8" spans="10:13" x14ac:dyDescent="0.25">
      <c r="J8" s="3"/>
      <c r="M8" s="3"/>
    </row>
    <row r="9" spans="10:13" x14ac:dyDescent="0.25">
      <c r="J9" s="2"/>
      <c r="M9" s="3"/>
    </row>
    <row r="10" spans="10:13" x14ac:dyDescent="0.25">
      <c r="J10" s="3"/>
      <c r="M10" s="3"/>
    </row>
    <row r="11" spans="10:13" x14ac:dyDescent="0.25">
      <c r="J11" s="2"/>
      <c r="M11" s="3"/>
    </row>
    <row r="12" spans="10:13" x14ac:dyDescent="0.25">
      <c r="J12" s="3"/>
      <c r="M12" s="3"/>
    </row>
    <row r="13" spans="10:13" x14ac:dyDescent="0.25">
      <c r="M13" s="3"/>
    </row>
    <row r="14" spans="10:13" x14ac:dyDescent="0.25">
      <c r="J14" s="1"/>
      <c r="M14" s="3"/>
    </row>
    <row r="15" spans="10:13" x14ac:dyDescent="0.25">
      <c r="J15" s="2"/>
      <c r="M15" s="3"/>
    </row>
    <row r="16" spans="10:13" x14ac:dyDescent="0.25">
      <c r="J16" s="3"/>
      <c r="M16" s="3"/>
    </row>
    <row r="17" spans="10:13" x14ac:dyDescent="0.25">
      <c r="J17" s="2"/>
      <c r="M17" s="3"/>
    </row>
    <row r="18" spans="10:13" x14ac:dyDescent="0.25">
      <c r="J18" s="3"/>
      <c r="M18" s="3"/>
    </row>
    <row r="19" spans="10:13" x14ac:dyDescent="0.25">
      <c r="J19" s="2"/>
      <c r="M19" s="3"/>
    </row>
    <row r="20" spans="10:13" x14ac:dyDescent="0.25">
      <c r="J20" s="3"/>
      <c r="M20" s="3"/>
    </row>
    <row r="21" spans="10:13" x14ac:dyDescent="0.25">
      <c r="J21" s="2"/>
      <c r="M21" s="3"/>
    </row>
    <row r="22" spans="10:13" x14ac:dyDescent="0.25">
      <c r="J22" s="3"/>
      <c r="M22" s="3"/>
    </row>
    <row r="23" spans="10:13" x14ac:dyDescent="0.25">
      <c r="M23" s="3"/>
    </row>
    <row r="24" spans="10:13" x14ac:dyDescent="0.25">
      <c r="J24" s="1"/>
      <c r="M24" s="3"/>
    </row>
    <row r="25" spans="10:13" x14ac:dyDescent="0.25">
      <c r="J25" s="2"/>
      <c r="M25" s="3"/>
    </row>
    <row r="26" spans="10:13" x14ac:dyDescent="0.25">
      <c r="J26" s="3"/>
      <c r="M26" s="3"/>
    </row>
    <row r="27" spans="10:13" x14ac:dyDescent="0.25">
      <c r="J27" s="2"/>
      <c r="M27" s="3"/>
    </row>
    <row r="28" spans="10:13" x14ac:dyDescent="0.25">
      <c r="J28" s="3"/>
      <c r="M28" s="3"/>
    </row>
    <row r="29" spans="10:13" x14ac:dyDescent="0.25">
      <c r="J29" s="2"/>
      <c r="M29" s="3"/>
    </row>
    <row r="30" spans="10:13" x14ac:dyDescent="0.25">
      <c r="J30" s="3"/>
      <c r="M30" s="3"/>
    </row>
    <row r="31" spans="10:13" x14ac:dyDescent="0.25">
      <c r="J31" s="2"/>
      <c r="M31" s="3"/>
    </row>
    <row r="32" spans="10:13" x14ac:dyDescent="0.25">
      <c r="J32" s="3"/>
      <c r="M32" s="3"/>
    </row>
    <row r="33" spans="10:13" x14ac:dyDescent="0.25">
      <c r="M33" s="3"/>
    </row>
    <row r="34" spans="10:13" x14ac:dyDescent="0.25">
      <c r="J34" s="1"/>
      <c r="M34" s="3"/>
    </row>
    <row r="35" spans="10:13" x14ac:dyDescent="0.25">
      <c r="J35" s="2"/>
      <c r="M35" s="3"/>
    </row>
    <row r="36" spans="10:13" x14ac:dyDescent="0.25">
      <c r="J36" s="3"/>
      <c r="M36" s="3"/>
    </row>
    <row r="37" spans="10:13" x14ac:dyDescent="0.25">
      <c r="J37" s="2"/>
      <c r="M37" s="3"/>
    </row>
    <row r="38" spans="10:13" x14ac:dyDescent="0.25">
      <c r="J38" s="3"/>
      <c r="M38" s="3"/>
    </row>
    <row r="39" spans="10:13" x14ac:dyDescent="0.25">
      <c r="J39" s="2"/>
      <c r="M39" s="3"/>
    </row>
    <row r="40" spans="10:13" x14ac:dyDescent="0.25">
      <c r="J40" s="3"/>
      <c r="M40" s="3"/>
    </row>
    <row r="41" spans="10:13" x14ac:dyDescent="0.25">
      <c r="J41" s="2"/>
      <c r="M41" s="3"/>
    </row>
    <row r="42" spans="10:13" x14ac:dyDescent="0.25">
      <c r="J42" s="3"/>
      <c r="M42" s="3"/>
    </row>
    <row r="43" spans="10:13" x14ac:dyDescent="0.25">
      <c r="M43" s="3"/>
    </row>
    <row r="44" spans="10:13" x14ac:dyDescent="0.25">
      <c r="J44" s="1"/>
      <c r="M44" s="3"/>
    </row>
    <row r="45" spans="10:13" x14ac:dyDescent="0.25">
      <c r="J45" s="2"/>
      <c r="M45" s="3"/>
    </row>
    <row r="46" spans="10:13" x14ac:dyDescent="0.25">
      <c r="J46" s="3"/>
      <c r="M46" s="3"/>
    </row>
    <row r="47" spans="10:13" x14ac:dyDescent="0.25">
      <c r="J47" s="2"/>
      <c r="M47" s="3"/>
    </row>
    <row r="48" spans="10:13" x14ac:dyDescent="0.25">
      <c r="J48" s="3"/>
      <c r="M48" s="3"/>
    </row>
    <row r="49" spans="10:13" x14ac:dyDescent="0.25">
      <c r="J49" s="2"/>
      <c r="M49" s="3"/>
    </row>
    <row r="50" spans="10:13" x14ac:dyDescent="0.25">
      <c r="J50" s="3"/>
      <c r="M50" s="3"/>
    </row>
    <row r="51" spans="10:13" x14ac:dyDescent="0.25">
      <c r="J51" s="2"/>
      <c r="M51" s="3"/>
    </row>
    <row r="52" spans="10:13" x14ac:dyDescent="0.25">
      <c r="J52" s="3"/>
      <c r="M52" s="3"/>
    </row>
    <row r="53" spans="10:13" x14ac:dyDescent="0.25">
      <c r="M53" s="3"/>
    </row>
    <row r="54" spans="10:13" x14ac:dyDescent="0.25">
      <c r="J54" s="1"/>
      <c r="M54" s="3"/>
    </row>
    <row r="55" spans="10:13" x14ac:dyDescent="0.25">
      <c r="J55" s="2"/>
      <c r="M55" s="3"/>
    </row>
    <row r="56" spans="10:13" x14ac:dyDescent="0.25">
      <c r="J56" s="3"/>
    </row>
    <row r="57" spans="10:13" x14ac:dyDescent="0.25">
      <c r="J57" s="2"/>
    </row>
    <row r="58" spans="10:13" x14ac:dyDescent="0.25">
      <c r="J58" s="3"/>
    </row>
    <row r="59" spans="10:13" x14ac:dyDescent="0.25">
      <c r="J59" s="2"/>
    </row>
    <row r="60" spans="10:13" x14ac:dyDescent="0.25">
      <c r="J60" s="3"/>
    </row>
    <row r="61" spans="10:13" x14ac:dyDescent="0.25">
      <c r="J61" s="2"/>
    </row>
    <row r="62" spans="10:13" x14ac:dyDescent="0.25">
      <c r="J62" s="3"/>
    </row>
    <row r="64" spans="10:13" x14ac:dyDescent="0.25">
      <c r="J64" s="1"/>
    </row>
    <row r="65" spans="10:10" x14ac:dyDescent="0.25">
      <c r="J65" s="2"/>
    </row>
    <row r="66" spans="10:10" x14ac:dyDescent="0.25">
      <c r="J66" s="3"/>
    </row>
    <row r="67" spans="10:10" x14ac:dyDescent="0.25">
      <c r="J67" s="2"/>
    </row>
    <row r="68" spans="10:10" x14ac:dyDescent="0.25">
      <c r="J68" s="3"/>
    </row>
    <row r="69" spans="10:10" x14ac:dyDescent="0.25">
      <c r="J69" s="2"/>
    </row>
    <row r="70" spans="10:10" x14ac:dyDescent="0.25">
      <c r="J70" s="3"/>
    </row>
    <row r="71" spans="10:10" x14ac:dyDescent="0.25">
      <c r="J71" s="2"/>
    </row>
    <row r="72" spans="10:10" x14ac:dyDescent="0.25">
      <c r="J72" s="3"/>
    </row>
    <row r="74" spans="10:10" x14ac:dyDescent="0.25">
      <c r="J74" s="1"/>
    </row>
    <row r="75" spans="10:10" x14ac:dyDescent="0.25">
      <c r="J75" s="2"/>
    </row>
    <row r="76" spans="10:10" x14ac:dyDescent="0.25">
      <c r="J76" s="3"/>
    </row>
    <row r="77" spans="10:10" x14ac:dyDescent="0.25">
      <c r="J77" s="2"/>
    </row>
    <row r="78" spans="10:10" x14ac:dyDescent="0.25">
      <c r="J78" s="3"/>
    </row>
    <row r="79" spans="10:10" x14ac:dyDescent="0.25">
      <c r="J79" s="2"/>
    </row>
    <row r="80" spans="10:10" x14ac:dyDescent="0.25">
      <c r="J80" s="3"/>
    </row>
    <row r="81" spans="10:10" x14ac:dyDescent="0.25">
      <c r="J81" s="2"/>
    </row>
    <row r="82" spans="10:10" x14ac:dyDescent="0.25">
      <c r="J82" s="3"/>
    </row>
    <row r="84" spans="10:10" x14ac:dyDescent="0.25">
      <c r="J84" s="1"/>
    </row>
    <row r="85" spans="10:10" x14ac:dyDescent="0.25">
      <c r="J85" s="2"/>
    </row>
    <row r="86" spans="10:10" x14ac:dyDescent="0.25">
      <c r="J86" s="3"/>
    </row>
    <row r="87" spans="10:10" x14ac:dyDescent="0.25">
      <c r="J87" s="2"/>
    </row>
    <row r="88" spans="10:10" x14ac:dyDescent="0.25">
      <c r="J88" s="3"/>
    </row>
    <row r="89" spans="10:10" x14ac:dyDescent="0.25">
      <c r="J89" s="2"/>
    </row>
    <row r="90" spans="10:10" x14ac:dyDescent="0.25">
      <c r="J90" s="3"/>
    </row>
    <row r="91" spans="10:10" x14ac:dyDescent="0.25">
      <c r="J91" s="2"/>
    </row>
    <row r="92" spans="10:10" x14ac:dyDescent="0.25">
      <c r="J92" s="3"/>
    </row>
    <row r="94" spans="10:10" x14ac:dyDescent="0.25">
      <c r="J94" s="1"/>
    </row>
    <row r="95" spans="10:10" x14ac:dyDescent="0.25">
      <c r="J95" s="2"/>
    </row>
    <row r="96" spans="10:10" x14ac:dyDescent="0.25">
      <c r="J96" s="3"/>
    </row>
    <row r="97" spans="10:10" x14ac:dyDescent="0.25">
      <c r="J97" s="2"/>
    </row>
    <row r="98" spans="10:10" x14ac:dyDescent="0.25">
      <c r="J98" s="3"/>
    </row>
    <row r="99" spans="10:10" x14ac:dyDescent="0.25">
      <c r="J99" s="2"/>
    </row>
    <row r="100" spans="10:10" x14ac:dyDescent="0.25">
      <c r="J100" s="3"/>
    </row>
    <row r="101" spans="10:10" x14ac:dyDescent="0.25">
      <c r="J101" s="2"/>
    </row>
    <row r="102" spans="10:10" x14ac:dyDescent="0.25">
      <c r="J102" s="3"/>
    </row>
    <row r="104" spans="10:10" x14ac:dyDescent="0.25">
      <c r="J104" s="1"/>
    </row>
    <row r="105" spans="10:10" x14ac:dyDescent="0.25">
      <c r="J105" s="2"/>
    </row>
    <row r="106" spans="10:10" x14ac:dyDescent="0.25">
      <c r="J106" s="3"/>
    </row>
    <row r="107" spans="10:10" x14ac:dyDescent="0.25">
      <c r="J107" s="2"/>
    </row>
    <row r="108" spans="10:10" x14ac:dyDescent="0.25">
      <c r="J108" s="3"/>
    </row>
    <row r="109" spans="10:10" x14ac:dyDescent="0.25">
      <c r="J109" s="2"/>
    </row>
    <row r="110" spans="10:10" x14ac:dyDescent="0.25">
      <c r="J110" s="3"/>
    </row>
    <row r="111" spans="10:10" x14ac:dyDescent="0.25">
      <c r="J111" s="2"/>
    </row>
    <row r="112" spans="10:10" x14ac:dyDescent="0.25">
      <c r="J112" s="3"/>
    </row>
    <row r="114" spans="10:10" x14ac:dyDescent="0.25">
      <c r="J114" s="1"/>
    </row>
    <row r="115" spans="10:10" x14ac:dyDescent="0.25">
      <c r="J115" s="2"/>
    </row>
    <row r="116" spans="10:10" x14ac:dyDescent="0.25">
      <c r="J116" s="3"/>
    </row>
    <row r="117" spans="10:10" x14ac:dyDescent="0.25">
      <c r="J117" s="2"/>
    </row>
    <row r="118" spans="10:10" x14ac:dyDescent="0.25">
      <c r="J118" s="3"/>
    </row>
    <row r="119" spans="10:10" x14ac:dyDescent="0.25">
      <c r="J119" s="2"/>
    </row>
    <row r="120" spans="10:10" x14ac:dyDescent="0.25">
      <c r="J120" s="3"/>
    </row>
    <row r="121" spans="10:10" x14ac:dyDescent="0.25">
      <c r="J121" s="2"/>
    </row>
    <row r="122" spans="10:10" x14ac:dyDescent="0.25">
      <c r="J122" s="3"/>
    </row>
    <row r="124" spans="10:10" x14ac:dyDescent="0.25">
      <c r="J124" s="1"/>
    </row>
    <row r="125" spans="10:10" x14ac:dyDescent="0.25">
      <c r="J125" s="2"/>
    </row>
    <row r="126" spans="10:10" x14ac:dyDescent="0.25">
      <c r="J126" s="3"/>
    </row>
    <row r="127" spans="10:10" x14ac:dyDescent="0.25">
      <c r="J127" s="2"/>
    </row>
    <row r="128" spans="10:10" x14ac:dyDescent="0.25">
      <c r="J128" s="3"/>
    </row>
    <row r="129" spans="10:10" x14ac:dyDescent="0.25">
      <c r="J129" s="2"/>
    </row>
    <row r="130" spans="10:10" x14ac:dyDescent="0.25">
      <c r="J130" s="3"/>
    </row>
    <row r="131" spans="10:10" x14ac:dyDescent="0.25">
      <c r="J131" s="2"/>
    </row>
    <row r="132" spans="10:10" x14ac:dyDescent="0.25">
      <c r="J132" s="3"/>
    </row>
    <row r="134" spans="10:10" x14ac:dyDescent="0.25">
      <c r="J134" s="1"/>
    </row>
    <row r="135" spans="10:10" x14ac:dyDescent="0.25">
      <c r="J135" s="2"/>
    </row>
    <row r="136" spans="10:10" x14ac:dyDescent="0.25">
      <c r="J136" s="3"/>
    </row>
    <row r="137" spans="10:10" x14ac:dyDescent="0.25">
      <c r="J137" s="2"/>
    </row>
    <row r="138" spans="10:10" x14ac:dyDescent="0.25">
      <c r="J138" s="3"/>
    </row>
    <row r="139" spans="10:10" x14ac:dyDescent="0.25">
      <c r="J139" s="2"/>
    </row>
    <row r="140" spans="10:10" x14ac:dyDescent="0.25">
      <c r="J140" s="3"/>
    </row>
    <row r="141" spans="10:10" x14ac:dyDescent="0.25">
      <c r="J141" s="2"/>
    </row>
    <row r="142" spans="10:10" x14ac:dyDescent="0.25">
      <c r="J142" s="3"/>
    </row>
    <row r="144" spans="10:10" x14ac:dyDescent="0.25">
      <c r="J144" s="1"/>
    </row>
    <row r="145" spans="10:10" x14ac:dyDescent="0.25">
      <c r="J145" s="2"/>
    </row>
    <row r="146" spans="10:10" x14ac:dyDescent="0.25">
      <c r="J146" s="3"/>
    </row>
    <row r="147" spans="10:10" x14ac:dyDescent="0.25">
      <c r="J147" s="2"/>
    </row>
    <row r="148" spans="10:10" x14ac:dyDescent="0.25">
      <c r="J148" s="3"/>
    </row>
    <row r="149" spans="10:10" x14ac:dyDescent="0.25">
      <c r="J149" s="2"/>
    </row>
    <row r="150" spans="10:10" x14ac:dyDescent="0.25">
      <c r="J150" s="3"/>
    </row>
    <row r="151" spans="10:10" x14ac:dyDescent="0.25">
      <c r="J151" s="2"/>
    </row>
    <row r="152" spans="10:10" x14ac:dyDescent="0.25">
      <c r="J152" s="3"/>
    </row>
    <row r="154" spans="10:10" x14ac:dyDescent="0.25">
      <c r="J154" s="1"/>
    </row>
    <row r="155" spans="10:10" x14ac:dyDescent="0.25">
      <c r="J155" s="2"/>
    </row>
    <row r="156" spans="10:10" x14ac:dyDescent="0.25">
      <c r="J156" s="3"/>
    </row>
    <row r="157" spans="10:10" x14ac:dyDescent="0.25">
      <c r="J157" s="2"/>
    </row>
    <row r="158" spans="10:10" x14ac:dyDescent="0.25">
      <c r="J158" s="3"/>
    </row>
    <row r="159" spans="10:10" x14ac:dyDescent="0.25">
      <c r="J159" s="2"/>
    </row>
    <row r="160" spans="10:10" x14ac:dyDescent="0.25">
      <c r="J160" s="3"/>
    </row>
    <row r="161" spans="10:10" x14ac:dyDescent="0.25">
      <c r="J161" s="2"/>
    </row>
    <row r="162" spans="10:10" x14ac:dyDescent="0.25">
      <c r="J162" s="3"/>
    </row>
    <row r="164" spans="10:10" x14ac:dyDescent="0.25">
      <c r="J164" s="1"/>
    </row>
    <row r="165" spans="10:10" x14ac:dyDescent="0.25">
      <c r="J165" s="2"/>
    </row>
    <row r="166" spans="10:10" x14ac:dyDescent="0.25">
      <c r="J166" s="3"/>
    </row>
    <row r="167" spans="10:10" x14ac:dyDescent="0.25">
      <c r="J167" s="2"/>
    </row>
    <row r="168" spans="10:10" x14ac:dyDescent="0.25">
      <c r="J168" s="3"/>
    </row>
    <row r="169" spans="10:10" x14ac:dyDescent="0.25">
      <c r="J169" s="2"/>
    </row>
    <row r="170" spans="10:10" x14ac:dyDescent="0.25">
      <c r="J170" s="3"/>
    </row>
    <row r="171" spans="10:10" x14ac:dyDescent="0.25">
      <c r="J171" s="2"/>
    </row>
    <row r="172" spans="10:10" x14ac:dyDescent="0.25">
      <c r="J172" s="3"/>
    </row>
    <row r="174" spans="10:10" x14ac:dyDescent="0.25">
      <c r="J174" s="1"/>
    </row>
    <row r="175" spans="10:10" x14ac:dyDescent="0.25">
      <c r="J175" s="2"/>
    </row>
    <row r="176" spans="10:10" x14ac:dyDescent="0.25">
      <c r="J176" s="3"/>
    </row>
    <row r="177" spans="10:10" x14ac:dyDescent="0.25">
      <c r="J177" s="2"/>
    </row>
    <row r="178" spans="10:10" x14ac:dyDescent="0.25">
      <c r="J178" s="3"/>
    </row>
    <row r="179" spans="10:10" x14ac:dyDescent="0.25">
      <c r="J179" s="2"/>
    </row>
    <row r="180" spans="10:10" x14ac:dyDescent="0.25">
      <c r="J180" s="3"/>
    </row>
    <row r="181" spans="10:10" x14ac:dyDescent="0.25">
      <c r="J181" s="2"/>
    </row>
    <row r="182" spans="10:10" x14ac:dyDescent="0.25">
      <c r="J182" s="3"/>
    </row>
    <row r="184" spans="10:10" x14ac:dyDescent="0.25">
      <c r="J184" s="1"/>
    </row>
    <row r="185" spans="10:10" x14ac:dyDescent="0.25">
      <c r="J185" s="2"/>
    </row>
    <row r="186" spans="10:10" x14ac:dyDescent="0.25">
      <c r="J186" s="3"/>
    </row>
    <row r="187" spans="10:10" x14ac:dyDescent="0.25">
      <c r="J187" s="2"/>
    </row>
    <row r="188" spans="10:10" x14ac:dyDescent="0.25">
      <c r="J188" s="3"/>
    </row>
    <row r="189" spans="10:10" x14ac:dyDescent="0.25">
      <c r="J189" s="2"/>
    </row>
    <row r="190" spans="10:10" x14ac:dyDescent="0.25">
      <c r="J190" s="3"/>
    </row>
    <row r="191" spans="10:10" x14ac:dyDescent="0.25">
      <c r="J191" s="2"/>
    </row>
    <row r="192" spans="10:10" x14ac:dyDescent="0.25">
      <c r="J192" s="3"/>
    </row>
    <row r="194" spans="10:10" x14ac:dyDescent="0.25">
      <c r="J194" s="1"/>
    </row>
    <row r="195" spans="10:10" x14ac:dyDescent="0.25">
      <c r="J195" s="2"/>
    </row>
    <row r="196" spans="10:10" x14ac:dyDescent="0.25">
      <c r="J196" s="3"/>
    </row>
    <row r="197" spans="10:10" x14ac:dyDescent="0.25">
      <c r="J197" s="2"/>
    </row>
    <row r="198" spans="10:10" x14ac:dyDescent="0.25">
      <c r="J198" s="3"/>
    </row>
    <row r="199" spans="10:10" x14ac:dyDescent="0.25">
      <c r="J199" s="2"/>
    </row>
    <row r="200" spans="10:10" x14ac:dyDescent="0.25">
      <c r="J200" s="3"/>
    </row>
    <row r="201" spans="10:10" x14ac:dyDescent="0.25">
      <c r="J201" s="2"/>
    </row>
    <row r="202" spans="10:10" x14ac:dyDescent="0.25">
      <c r="J202" s="3"/>
    </row>
    <row r="204" spans="10:10" x14ac:dyDescent="0.25">
      <c r="J204" s="1"/>
    </row>
    <row r="205" spans="10:10" x14ac:dyDescent="0.25">
      <c r="J205" s="2"/>
    </row>
    <row r="206" spans="10:10" x14ac:dyDescent="0.25">
      <c r="J206" s="3"/>
    </row>
    <row r="207" spans="10:10" x14ac:dyDescent="0.25">
      <c r="J207" s="2"/>
    </row>
    <row r="208" spans="10:10" x14ac:dyDescent="0.25">
      <c r="J208" s="3"/>
    </row>
    <row r="209" spans="10:10" x14ac:dyDescent="0.25">
      <c r="J209" s="2"/>
    </row>
    <row r="210" spans="10:10" x14ac:dyDescent="0.25">
      <c r="J210" s="3"/>
    </row>
    <row r="211" spans="10:10" x14ac:dyDescent="0.25">
      <c r="J211" s="2"/>
    </row>
    <row r="212" spans="10:10" x14ac:dyDescent="0.25">
      <c r="J212" s="3"/>
    </row>
    <row r="214" spans="10:10" x14ac:dyDescent="0.25">
      <c r="J214" s="1"/>
    </row>
    <row r="215" spans="10:10" x14ac:dyDescent="0.25">
      <c r="J215" s="2"/>
    </row>
    <row r="216" spans="10:10" x14ac:dyDescent="0.25">
      <c r="J216" s="3"/>
    </row>
    <row r="217" spans="10:10" x14ac:dyDescent="0.25">
      <c r="J217" s="2"/>
    </row>
    <row r="218" spans="10:10" x14ac:dyDescent="0.25">
      <c r="J218" s="3"/>
    </row>
    <row r="219" spans="10:10" x14ac:dyDescent="0.25">
      <c r="J219" s="2"/>
    </row>
    <row r="220" spans="10:10" x14ac:dyDescent="0.25">
      <c r="J220" s="3"/>
    </row>
    <row r="221" spans="10:10" x14ac:dyDescent="0.25">
      <c r="J221" s="2"/>
    </row>
    <row r="222" spans="10:10" x14ac:dyDescent="0.25">
      <c r="J222" s="3"/>
    </row>
    <row r="224" spans="10:10" x14ac:dyDescent="0.25">
      <c r="J224" s="1"/>
    </row>
    <row r="225" spans="10:10" x14ac:dyDescent="0.25">
      <c r="J225" s="2"/>
    </row>
    <row r="226" spans="10:10" x14ac:dyDescent="0.25">
      <c r="J226" s="3"/>
    </row>
    <row r="227" spans="10:10" x14ac:dyDescent="0.25">
      <c r="J227" s="2"/>
    </row>
    <row r="228" spans="10:10" x14ac:dyDescent="0.25">
      <c r="J228" s="3"/>
    </row>
    <row r="229" spans="10:10" x14ac:dyDescent="0.25">
      <c r="J229" s="2"/>
    </row>
    <row r="230" spans="10:10" x14ac:dyDescent="0.25">
      <c r="J230" s="3"/>
    </row>
    <row r="231" spans="10:10" x14ac:dyDescent="0.25">
      <c r="J231" s="2"/>
    </row>
    <row r="232" spans="10:10" x14ac:dyDescent="0.25">
      <c r="J232" s="3"/>
    </row>
    <row r="234" spans="10:10" x14ac:dyDescent="0.25">
      <c r="J234" s="1"/>
    </row>
    <row r="235" spans="10:10" x14ac:dyDescent="0.25">
      <c r="J235" s="2"/>
    </row>
    <row r="236" spans="10:10" x14ac:dyDescent="0.25">
      <c r="J236" s="3"/>
    </row>
    <row r="237" spans="10:10" x14ac:dyDescent="0.25">
      <c r="J237" s="2"/>
    </row>
    <row r="238" spans="10:10" x14ac:dyDescent="0.25">
      <c r="J238" s="3"/>
    </row>
    <row r="239" spans="10:10" x14ac:dyDescent="0.25">
      <c r="J239" s="2"/>
    </row>
    <row r="240" spans="10:10" x14ac:dyDescent="0.25">
      <c r="J240" s="3"/>
    </row>
    <row r="241" spans="10:10" x14ac:dyDescent="0.25">
      <c r="J241" s="2"/>
    </row>
    <row r="242" spans="10:10" x14ac:dyDescent="0.25">
      <c r="J242" s="3"/>
    </row>
    <row r="244" spans="10:10" x14ac:dyDescent="0.25">
      <c r="J244" s="1"/>
    </row>
    <row r="245" spans="10:10" x14ac:dyDescent="0.25">
      <c r="J245" s="2"/>
    </row>
    <row r="246" spans="10:10" x14ac:dyDescent="0.25">
      <c r="J246" s="3"/>
    </row>
    <row r="247" spans="10:10" x14ac:dyDescent="0.25">
      <c r="J247" s="2"/>
    </row>
    <row r="248" spans="10:10" x14ac:dyDescent="0.25">
      <c r="J248" s="3"/>
    </row>
    <row r="249" spans="10:10" x14ac:dyDescent="0.25">
      <c r="J249" s="2"/>
    </row>
    <row r="250" spans="10:10" x14ac:dyDescent="0.25">
      <c r="J250" s="3"/>
    </row>
    <row r="251" spans="10:10" x14ac:dyDescent="0.25">
      <c r="J251" s="2"/>
    </row>
    <row r="252" spans="10:10" x14ac:dyDescent="0.25">
      <c r="J252" s="3"/>
    </row>
    <row r="254" spans="10:10" x14ac:dyDescent="0.25">
      <c r="J254" s="1"/>
    </row>
    <row r="255" spans="10:10" x14ac:dyDescent="0.25">
      <c r="J255" s="2"/>
    </row>
    <row r="256" spans="10:10" x14ac:dyDescent="0.25">
      <c r="J256" s="3"/>
    </row>
    <row r="257" spans="10:10" x14ac:dyDescent="0.25">
      <c r="J257" s="2"/>
    </row>
    <row r="258" spans="10:10" x14ac:dyDescent="0.25">
      <c r="J258" s="3"/>
    </row>
    <row r="259" spans="10:10" x14ac:dyDescent="0.25">
      <c r="J259" s="2"/>
    </row>
    <row r="260" spans="10:10" x14ac:dyDescent="0.25">
      <c r="J260" s="3"/>
    </row>
    <row r="261" spans="10:10" x14ac:dyDescent="0.25">
      <c r="J261" s="2"/>
    </row>
    <row r="262" spans="10:10" x14ac:dyDescent="0.25">
      <c r="J262" s="3"/>
    </row>
    <row r="264" spans="10:10" x14ac:dyDescent="0.25">
      <c r="J264" s="1"/>
    </row>
    <row r="265" spans="10:10" x14ac:dyDescent="0.25">
      <c r="J265" s="2"/>
    </row>
    <row r="266" spans="10:10" x14ac:dyDescent="0.25">
      <c r="J266" s="3"/>
    </row>
    <row r="267" spans="10:10" x14ac:dyDescent="0.25">
      <c r="J267" s="2"/>
    </row>
    <row r="268" spans="10:10" x14ac:dyDescent="0.25">
      <c r="J268" s="3"/>
    </row>
    <row r="269" spans="10:10" x14ac:dyDescent="0.25">
      <c r="J269" s="2"/>
    </row>
    <row r="270" spans="10:10" x14ac:dyDescent="0.25">
      <c r="J270" s="3"/>
    </row>
    <row r="271" spans="10:10" x14ac:dyDescent="0.25">
      <c r="J271" s="2"/>
    </row>
    <row r="272" spans="10:10" x14ac:dyDescent="0.25">
      <c r="J272" s="3"/>
    </row>
    <row r="274" spans="10:10" x14ac:dyDescent="0.25">
      <c r="J274" s="1"/>
    </row>
    <row r="275" spans="10:10" x14ac:dyDescent="0.25">
      <c r="J275" s="2"/>
    </row>
    <row r="276" spans="10:10" x14ac:dyDescent="0.25">
      <c r="J276" s="3"/>
    </row>
    <row r="277" spans="10:10" x14ac:dyDescent="0.25">
      <c r="J277" s="2"/>
    </row>
    <row r="278" spans="10:10" x14ac:dyDescent="0.25">
      <c r="J278" s="3"/>
    </row>
    <row r="279" spans="10:10" x14ac:dyDescent="0.25">
      <c r="J279" s="2"/>
    </row>
    <row r="280" spans="10:10" x14ac:dyDescent="0.25">
      <c r="J280" s="3"/>
    </row>
    <row r="281" spans="10:10" x14ac:dyDescent="0.25">
      <c r="J281" s="2"/>
    </row>
    <row r="282" spans="10:10" x14ac:dyDescent="0.25">
      <c r="J282" s="3"/>
    </row>
    <row r="284" spans="10:10" x14ac:dyDescent="0.25">
      <c r="J284" s="1"/>
    </row>
    <row r="285" spans="10:10" x14ac:dyDescent="0.25">
      <c r="J285" s="2"/>
    </row>
    <row r="286" spans="10:10" x14ac:dyDescent="0.25">
      <c r="J286" s="3"/>
    </row>
    <row r="287" spans="10:10" x14ac:dyDescent="0.25">
      <c r="J287" s="2"/>
    </row>
    <row r="288" spans="10:10" x14ac:dyDescent="0.25">
      <c r="J288" s="3"/>
    </row>
    <row r="289" spans="10:10" x14ac:dyDescent="0.25">
      <c r="J289" s="2"/>
    </row>
    <row r="290" spans="10:10" x14ac:dyDescent="0.25">
      <c r="J290" s="3"/>
    </row>
    <row r="291" spans="10:10" x14ac:dyDescent="0.25">
      <c r="J291" s="2"/>
    </row>
    <row r="292" spans="10:10" x14ac:dyDescent="0.25">
      <c r="J292" s="3"/>
    </row>
    <row r="294" spans="10:10" x14ac:dyDescent="0.25">
      <c r="J294" s="1"/>
    </row>
    <row r="295" spans="10:10" x14ac:dyDescent="0.25">
      <c r="J295" s="2"/>
    </row>
    <row r="296" spans="10:10" x14ac:dyDescent="0.25">
      <c r="J296" s="3"/>
    </row>
    <row r="297" spans="10:10" x14ac:dyDescent="0.25">
      <c r="J297" s="2"/>
    </row>
    <row r="298" spans="10:10" x14ac:dyDescent="0.25">
      <c r="J298" s="3"/>
    </row>
    <row r="299" spans="10:10" x14ac:dyDescent="0.25">
      <c r="J299" s="2"/>
    </row>
    <row r="300" spans="10:10" x14ac:dyDescent="0.25">
      <c r="J300" s="3"/>
    </row>
    <row r="301" spans="10:10" x14ac:dyDescent="0.25">
      <c r="J301" s="2"/>
    </row>
    <row r="302" spans="10:10" x14ac:dyDescent="0.25">
      <c r="J302" s="3"/>
    </row>
    <row r="304" spans="10:10" x14ac:dyDescent="0.25">
      <c r="J304" s="1"/>
    </row>
    <row r="305" spans="10:10" x14ac:dyDescent="0.25">
      <c r="J305" s="2"/>
    </row>
    <row r="306" spans="10:10" x14ac:dyDescent="0.25">
      <c r="J306" s="3"/>
    </row>
    <row r="307" spans="10:10" x14ac:dyDescent="0.25">
      <c r="J307" s="2"/>
    </row>
    <row r="308" spans="10:10" x14ac:dyDescent="0.25">
      <c r="J308" s="3"/>
    </row>
    <row r="309" spans="10:10" x14ac:dyDescent="0.25">
      <c r="J309" s="2"/>
    </row>
    <row r="310" spans="10:10" x14ac:dyDescent="0.25">
      <c r="J310" s="3"/>
    </row>
    <row r="311" spans="10:10" x14ac:dyDescent="0.25">
      <c r="J311" s="2"/>
    </row>
    <row r="312" spans="10:10" x14ac:dyDescent="0.25">
      <c r="J312" s="3"/>
    </row>
    <row r="314" spans="10:10" x14ac:dyDescent="0.25">
      <c r="J314" s="1"/>
    </row>
    <row r="315" spans="10:10" x14ac:dyDescent="0.25">
      <c r="J315" s="2"/>
    </row>
    <row r="316" spans="10:10" x14ac:dyDescent="0.25">
      <c r="J316" s="3"/>
    </row>
    <row r="317" spans="10:10" x14ac:dyDescent="0.25">
      <c r="J317" s="2"/>
    </row>
    <row r="318" spans="10:10" x14ac:dyDescent="0.25">
      <c r="J318" s="3"/>
    </row>
    <row r="319" spans="10:10" x14ac:dyDescent="0.25">
      <c r="J319" s="2"/>
    </row>
    <row r="320" spans="10:10" x14ac:dyDescent="0.25">
      <c r="J320" s="3"/>
    </row>
    <row r="321" spans="10:10" x14ac:dyDescent="0.25">
      <c r="J321" s="2"/>
    </row>
    <row r="322" spans="10:10" x14ac:dyDescent="0.25">
      <c r="J322" s="3"/>
    </row>
    <row r="324" spans="10:10" x14ac:dyDescent="0.25">
      <c r="J324" s="1"/>
    </row>
    <row r="325" spans="10:10" x14ac:dyDescent="0.25">
      <c r="J325" s="2"/>
    </row>
    <row r="326" spans="10:10" x14ac:dyDescent="0.25">
      <c r="J326" s="3"/>
    </row>
    <row r="327" spans="10:10" x14ac:dyDescent="0.25">
      <c r="J327" s="2"/>
    </row>
    <row r="328" spans="10:10" x14ac:dyDescent="0.25">
      <c r="J328" s="3"/>
    </row>
    <row r="329" spans="10:10" x14ac:dyDescent="0.25">
      <c r="J329" s="2"/>
    </row>
    <row r="330" spans="10:10" x14ac:dyDescent="0.25">
      <c r="J330" s="3"/>
    </row>
    <row r="331" spans="10:10" x14ac:dyDescent="0.25">
      <c r="J331" s="2"/>
    </row>
    <row r="332" spans="10:10" x14ac:dyDescent="0.25">
      <c r="J332" s="3"/>
    </row>
    <row r="334" spans="10:10" x14ac:dyDescent="0.25">
      <c r="J334" s="1"/>
    </row>
    <row r="335" spans="10:10" x14ac:dyDescent="0.25">
      <c r="J335" s="2"/>
    </row>
    <row r="336" spans="10:10" x14ac:dyDescent="0.25">
      <c r="J336" s="3"/>
    </row>
    <row r="337" spans="10:10" x14ac:dyDescent="0.25">
      <c r="J337" s="2"/>
    </row>
    <row r="338" spans="10:10" x14ac:dyDescent="0.25">
      <c r="J338" s="3"/>
    </row>
    <row r="339" spans="10:10" x14ac:dyDescent="0.25">
      <c r="J339" s="2"/>
    </row>
    <row r="340" spans="10:10" x14ac:dyDescent="0.25">
      <c r="J340" s="3"/>
    </row>
    <row r="341" spans="10:10" x14ac:dyDescent="0.25">
      <c r="J341" s="2"/>
    </row>
    <row r="342" spans="10:10" x14ac:dyDescent="0.25">
      <c r="J342" s="3"/>
    </row>
    <row r="344" spans="10:10" x14ac:dyDescent="0.25">
      <c r="J344" s="1"/>
    </row>
    <row r="345" spans="10:10" x14ac:dyDescent="0.25">
      <c r="J345" s="2"/>
    </row>
    <row r="346" spans="10:10" x14ac:dyDescent="0.25">
      <c r="J346" s="3"/>
    </row>
    <row r="347" spans="10:10" x14ac:dyDescent="0.25">
      <c r="J347" s="2"/>
    </row>
    <row r="348" spans="10:10" x14ac:dyDescent="0.25">
      <c r="J348" s="3"/>
    </row>
    <row r="349" spans="10:10" x14ac:dyDescent="0.25">
      <c r="J349" s="2"/>
    </row>
    <row r="350" spans="10:10" x14ac:dyDescent="0.25">
      <c r="J350" s="3"/>
    </row>
    <row r="351" spans="10:10" x14ac:dyDescent="0.25">
      <c r="J351" s="2"/>
    </row>
    <row r="352" spans="10:10" x14ac:dyDescent="0.25">
      <c r="J352" s="3"/>
    </row>
    <row r="354" spans="10:10" x14ac:dyDescent="0.25">
      <c r="J354" s="1"/>
    </row>
    <row r="355" spans="10:10" x14ac:dyDescent="0.25">
      <c r="J355" s="2"/>
    </row>
    <row r="356" spans="10:10" x14ac:dyDescent="0.25">
      <c r="J356" s="3"/>
    </row>
    <row r="357" spans="10:10" x14ac:dyDescent="0.25">
      <c r="J357" s="2"/>
    </row>
    <row r="358" spans="10:10" x14ac:dyDescent="0.25">
      <c r="J358" s="3"/>
    </row>
    <row r="359" spans="10:10" x14ac:dyDescent="0.25">
      <c r="J359" s="2"/>
    </row>
    <row r="360" spans="10:10" x14ac:dyDescent="0.25">
      <c r="J360" s="3"/>
    </row>
    <row r="361" spans="10:10" x14ac:dyDescent="0.25">
      <c r="J361" s="2"/>
    </row>
    <row r="362" spans="10:10" x14ac:dyDescent="0.25">
      <c r="J362" s="3"/>
    </row>
    <row r="364" spans="10:10" x14ac:dyDescent="0.25">
      <c r="J364" s="1"/>
    </row>
    <row r="365" spans="10:10" x14ac:dyDescent="0.25">
      <c r="J365" s="2"/>
    </row>
    <row r="366" spans="10:10" x14ac:dyDescent="0.25">
      <c r="J366" s="3"/>
    </row>
    <row r="367" spans="10:10" x14ac:dyDescent="0.25">
      <c r="J367" s="2"/>
    </row>
    <row r="368" spans="10:10" x14ac:dyDescent="0.25">
      <c r="J368" s="3"/>
    </row>
    <row r="369" spans="10:10" x14ac:dyDescent="0.25">
      <c r="J369" s="2"/>
    </row>
    <row r="370" spans="10:10" x14ac:dyDescent="0.25">
      <c r="J370" s="3"/>
    </row>
    <row r="371" spans="10:10" x14ac:dyDescent="0.25">
      <c r="J371" s="2"/>
    </row>
    <row r="372" spans="10:10" x14ac:dyDescent="0.25">
      <c r="J372" s="3"/>
    </row>
    <row r="374" spans="10:10" x14ac:dyDescent="0.25">
      <c r="J374" s="1"/>
    </row>
    <row r="375" spans="10:10" x14ac:dyDescent="0.25">
      <c r="J375" s="2"/>
    </row>
    <row r="376" spans="10:10" x14ac:dyDescent="0.25">
      <c r="J376" s="3"/>
    </row>
    <row r="377" spans="10:10" x14ac:dyDescent="0.25">
      <c r="J377" s="2"/>
    </row>
    <row r="378" spans="10:10" x14ac:dyDescent="0.25">
      <c r="J378" s="3"/>
    </row>
    <row r="379" spans="10:10" x14ac:dyDescent="0.25">
      <c r="J379" s="2"/>
    </row>
    <row r="380" spans="10:10" x14ac:dyDescent="0.25">
      <c r="J380" s="3"/>
    </row>
    <row r="381" spans="10:10" x14ac:dyDescent="0.25">
      <c r="J381" s="2"/>
    </row>
    <row r="382" spans="10:10" x14ac:dyDescent="0.25">
      <c r="J382" s="3"/>
    </row>
    <row r="384" spans="10:10" x14ac:dyDescent="0.25">
      <c r="J384" s="1"/>
    </row>
    <row r="385" spans="10:10" x14ac:dyDescent="0.25">
      <c r="J385" s="2"/>
    </row>
    <row r="386" spans="10:10" x14ac:dyDescent="0.25">
      <c r="J386" s="3"/>
    </row>
    <row r="387" spans="10:10" x14ac:dyDescent="0.25">
      <c r="J387" s="2"/>
    </row>
    <row r="388" spans="10:10" x14ac:dyDescent="0.25">
      <c r="J388" s="3"/>
    </row>
    <row r="389" spans="10:10" x14ac:dyDescent="0.25">
      <c r="J389" s="2"/>
    </row>
    <row r="390" spans="10:10" x14ac:dyDescent="0.25">
      <c r="J390" s="3"/>
    </row>
    <row r="391" spans="10:10" x14ac:dyDescent="0.25">
      <c r="J391" s="2"/>
    </row>
    <row r="392" spans="10:10" x14ac:dyDescent="0.25">
      <c r="J392" s="3"/>
    </row>
    <row r="394" spans="10:10" x14ac:dyDescent="0.25">
      <c r="J394" s="1"/>
    </row>
    <row r="395" spans="10:10" x14ac:dyDescent="0.25">
      <c r="J395" s="2"/>
    </row>
    <row r="396" spans="10:10" x14ac:dyDescent="0.25">
      <c r="J396" s="3"/>
    </row>
    <row r="397" spans="10:10" x14ac:dyDescent="0.25">
      <c r="J397" s="2"/>
    </row>
    <row r="398" spans="10:10" x14ac:dyDescent="0.25">
      <c r="J398" s="3"/>
    </row>
    <row r="399" spans="10:10" x14ac:dyDescent="0.25">
      <c r="J399" s="2"/>
    </row>
    <row r="400" spans="10:10" x14ac:dyDescent="0.25">
      <c r="J400" s="3"/>
    </row>
    <row r="401" spans="10:10" x14ac:dyDescent="0.25">
      <c r="J401" s="2"/>
    </row>
    <row r="402" spans="10:10" x14ac:dyDescent="0.25">
      <c r="J402" s="3"/>
    </row>
    <row r="404" spans="10:10" x14ac:dyDescent="0.25">
      <c r="J404" s="1"/>
    </row>
    <row r="405" spans="10:10" x14ac:dyDescent="0.25">
      <c r="J405" s="2"/>
    </row>
    <row r="406" spans="10:10" x14ac:dyDescent="0.25">
      <c r="J406" s="3"/>
    </row>
    <row r="407" spans="10:10" x14ac:dyDescent="0.25">
      <c r="J407" s="2"/>
    </row>
    <row r="408" spans="10:10" x14ac:dyDescent="0.25">
      <c r="J408" s="3"/>
    </row>
    <row r="409" spans="10:10" x14ac:dyDescent="0.25">
      <c r="J409" s="2"/>
    </row>
    <row r="410" spans="10:10" x14ac:dyDescent="0.25">
      <c r="J410" s="3"/>
    </row>
    <row r="411" spans="10:10" x14ac:dyDescent="0.25">
      <c r="J411" s="2"/>
    </row>
    <row r="412" spans="10:10" x14ac:dyDescent="0.25">
      <c r="J412" s="3"/>
    </row>
    <row r="414" spans="10:10" x14ac:dyDescent="0.25">
      <c r="J414" s="1"/>
    </row>
    <row r="415" spans="10:10" x14ac:dyDescent="0.25">
      <c r="J415" s="2"/>
    </row>
    <row r="416" spans="10:10" x14ac:dyDescent="0.25">
      <c r="J416" s="3"/>
    </row>
    <row r="417" spans="10:10" x14ac:dyDescent="0.25">
      <c r="J417" s="2"/>
    </row>
    <row r="418" spans="10:10" x14ac:dyDescent="0.25">
      <c r="J418" s="3"/>
    </row>
    <row r="419" spans="10:10" x14ac:dyDescent="0.25">
      <c r="J419" s="2"/>
    </row>
    <row r="420" spans="10:10" x14ac:dyDescent="0.25">
      <c r="J420" s="3"/>
    </row>
    <row r="421" spans="10:10" x14ac:dyDescent="0.25">
      <c r="J421" s="2"/>
    </row>
    <row r="422" spans="10:10" x14ac:dyDescent="0.25">
      <c r="J422" s="3"/>
    </row>
    <row r="424" spans="10:10" x14ac:dyDescent="0.25">
      <c r="J424" s="1"/>
    </row>
    <row r="425" spans="10:10" x14ac:dyDescent="0.25">
      <c r="J425" s="2"/>
    </row>
    <row r="426" spans="10:10" x14ac:dyDescent="0.25">
      <c r="J426" s="3"/>
    </row>
    <row r="427" spans="10:10" x14ac:dyDescent="0.25">
      <c r="J427" s="2"/>
    </row>
    <row r="428" spans="10:10" x14ac:dyDescent="0.25">
      <c r="J428" s="3"/>
    </row>
    <row r="429" spans="10:10" x14ac:dyDescent="0.25">
      <c r="J429" s="2"/>
    </row>
    <row r="430" spans="10:10" x14ac:dyDescent="0.25">
      <c r="J430" s="3"/>
    </row>
    <row r="431" spans="10:10" x14ac:dyDescent="0.25">
      <c r="J431" s="2"/>
    </row>
    <row r="432" spans="10:10" x14ac:dyDescent="0.25">
      <c r="J432" s="3"/>
    </row>
    <row r="434" spans="10:10" x14ac:dyDescent="0.25">
      <c r="J434" s="1"/>
    </row>
    <row r="435" spans="10:10" x14ac:dyDescent="0.25">
      <c r="J435" s="2"/>
    </row>
    <row r="436" spans="10:10" x14ac:dyDescent="0.25">
      <c r="J436" s="3"/>
    </row>
    <row r="437" spans="10:10" x14ac:dyDescent="0.25">
      <c r="J437" s="2"/>
    </row>
    <row r="438" spans="10:10" x14ac:dyDescent="0.25">
      <c r="J438" s="3"/>
    </row>
    <row r="439" spans="10:10" x14ac:dyDescent="0.25">
      <c r="J439" s="2"/>
    </row>
    <row r="440" spans="10:10" x14ac:dyDescent="0.25">
      <c r="J440" s="3"/>
    </row>
    <row r="441" spans="10:10" x14ac:dyDescent="0.25">
      <c r="J441" s="2"/>
    </row>
    <row r="442" spans="10:10" x14ac:dyDescent="0.25">
      <c r="J442" s="3"/>
    </row>
    <row r="444" spans="10:10" x14ac:dyDescent="0.25">
      <c r="J444" s="1"/>
    </row>
    <row r="445" spans="10:10" x14ac:dyDescent="0.25">
      <c r="J445" s="2"/>
    </row>
    <row r="446" spans="10:10" x14ac:dyDescent="0.25">
      <c r="J446" s="3"/>
    </row>
    <row r="447" spans="10:10" x14ac:dyDescent="0.25">
      <c r="J447" s="2"/>
    </row>
    <row r="448" spans="10:10" x14ac:dyDescent="0.25">
      <c r="J448" s="3"/>
    </row>
    <row r="449" spans="10:10" x14ac:dyDescent="0.25">
      <c r="J449" s="2"/>
    </row>
    <row r="450" spans="10:10" x14ac:dyDescent="0.25">
      <c r="J450" s="3"/>
    </row>
    <row r="451" spans="10:10" x14ac:dyDescent="0.25">
      <c r="J451" s="2"/>
    </row>
    <row r="452" spans="10:10" x14ac:dyDescent="0.25">
      <c r="J452" s="3"/>
    </row>
    <row r="454" spans="10:10" x14ac:dyDescent="0.25">
      <c r="J454" s="1"/>
    </row>
    <row r="455" spans="10:10" x14ac:dyDescent="0.25">
      <c r="J455" s="2"/>
    </row>
    <row r="456" spans="10:10" x14ac:dyDescent="0.25">
      <c r="J456" s="3"/>
    </row>
    <row r="457" spans="10:10" x14ac:dyDescent="0.25">
      <c r="J457" s="2"/>
    </row>
    <row r="458" spans="10:10" x14ac:dyDescent="0.25">
      <c r="J458" s="3"/>
    </row>
    <row r="459" spans="10:10" x14ac:dyDescent="0.25">
      <c r="J459" s="2"/>
    </row>
    <row r="460" spans="10:10" x14ac:dyDescent="0.25">
      <c r="J460" s="3"/>
    </row>
    <row r="461" spans="10:10" x14ac:dyDescent="0.25">
      <c r="J461" s="2"/>
    </row>
    <row r="462" spans="10:10" x14ac:dyDescent="0.25">
      <c r="J462" s="3"/>
    </row>
    <row r="464" spans="10:10" x14ac:dyDescent="0.25">
      <c r="J464" s="1"/>
    </row>
    <row r="465" spans="10:10" x14ac:dyDescent="0.25">
      <c r="J465" s="2"/>
    </row>
    <row r="466" spans="10:10" x14ac:dyDescent="0.25">
      <c r="J466" s="3"/>
    </row>
    <row r="467" spans="10:10" x14ac:dyDescent="0.25">
      <c r="J467" s="2"/>
    </row>
    <row r="468" spans="10:10" x14ac:dyDescent="0.25">
      <c r="J468" s="3"/>
    </row>
    <row r="469" spans="10:10" x14ac:dyDescent="0.25">
      <c r="J469" s="2"/>
    </row>
    <row r="470" spans="10:10" x14ac:dyDescent="0.25">
      <c r="J470" s="3"/>
    </row>
    <row r="471" spans="10:10" x14ac:dyDescent="0.25">
      <c r="J471" s="2"/>
    </row>
    <row r="472" spans="10:10" x14ac:dyDescent="0.25">
      <c r="J472" s="3"/>
    </row>
    <row r="474" spans="10:10" x14ac:dyDescent="0.25">
      <c r="J474" s="1"/>
    </row>
    <row r="475" spans="10:10" x14ac:dyDescent="0.25">
      <c r="J475" s="2"/>
    </row>
    <row r="476" spans="10:10" x14ac:dyDescent="0.25">
      <c r="J476" s="3"/>
    </row>
    <row r="477" spans="10:10" x14ac:dyDescent="0.25">
      <c r="J477" s="2"/>
    </row>
    <row r="478" spans="10:10" x14ac:dyDescent="0.25">
      <c r="J478" s="3"/>
    </row>
    <row r="479" spans="10:10" x14ac:dyDescent="0.25">
      <c r="J479" s="2"/>
    </row>
    <row r="480" spans="10:10" x14ac:dyDescent="0.25">
      <c r="J480" s="3"/>
    </row>
    <row r="481" spans="10:10" x14ac:dyDescent="0.25">
      <c r="J481" s="2"/>
    </row>
    <row r="482" spans="10:10" x14ac:dyDescent="0.25">
      <c r="J482" s="3"/>
    </row>
    <row r="484" spans="10:10" x14ac:dyDescent="0.25">
      <c r="J484" s="1"/>
    </row>
    <row r="485" spans="10:10" x14ac:dyDescent="0.25">
      <c r="J485" s="2"/>
    </row>
    <row r="486" spans="10:10" x14ac:dyDescent="0.25">
      <c r="J486" s="3"/>
    </row>
    <row r="487" spans="10:10" x14ac:dyDescent="0.25">
      <c r="J487" s="2"/>
    </row>
    <row r="488" spans="10:10" x14ac:dyDescent="0.25">
      <c r="J488" s="3"/>
    </row>
    <row r="489" spans="10:10" x14ac:dyDescent="0.25">
      <c r="J489" s="2"/>
    </row>
    <row r="490" spans="10:10" x14ac:dyDescent="0.25">
      <c r="J490" s="3"/>
    </row>
    <row r="491" spans="10:10" x14ac:dyDescent="0.25">
      <c r="J491" s="2"/>
    </row>
    <row r="492" spans="10:10" x14ac:dyDescent="0.25">
      <c r="J492" s="3"/>
    </row>
    <row r="494" spans="10:10" x14ac:dyDescent="0.25">
      <c r="J494" s="1"/>
    </row>
    <row r="495" spans="10:10" x14ac:dyDescent="0.25">
      <c r="J495" s="2"/>
    </row>
    <row r="496" spans="10:10" x14ac:dyDescent="0.25">
      <c r="J496" s="3"/>
    </row>
    <row r="497" spans="10:10" x14ac:dyDescent="0.25">
      <c r="J497" s="2"/>
    </row>
    <row r="498" spans="10:10" x14ac:dyDescent="0.25">
      <c r="J498" s="3"/>
    </row>
    <row r="499" spans="10:10" x14ac:dyDescent="0.25">
      <c r="J499" s="2"/>
    </row>
    <row r="500" spans="10:10" x14ac:dyDescent="0.25">
      <c r="J500" s="3"/>
    </row>
    <row r="501" spans="10:10" x14ac:dyDescent="0.25">
      <c r="J501" s="2"/>
    </row>
    <row r="502" spans="10:10" x14ac:dyDescent="0.25">
      <c r="J50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sqref="A1:A1048576"/>
    </sheetView>
  </sheetViews>
  <sheetFormatPr defaultRowHeight="15" x14ac:dyDescent="0.25"/>
  <cols>
    <col min="1" max="1" width="21" customWidth="1"/>
  </cols>
  <sheetData>
    <row r="1" spans="1:1" x14ac:dyDescent="0.25">
      <c r="A1" s="3"/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2026-04-05T09:24:21Z</dcterms:modified>
</cp:coreProperties>
</file>